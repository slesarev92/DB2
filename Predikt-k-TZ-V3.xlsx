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25" tabRatio="841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alculation_Pipeline" sheetId="3" state="visible" r:id="rId3"/>
    <sheet xmlns:r="http://schemas.openxmlformats.org/officeDocument/2006/relationships" name="Override_Policy" sheetId="4" state="visible" r:id="rId4"/>
    <sheet xmlns:r="http://schemas.openxmlformats.org/officeDocument/2006/relationships" name="Export_Mapping" sheetId="5" state="visible" r:id="rId5"/>
    <sheet xmlns:r="http://schemas.openxmlformats.org/officeDocument/2006/relationships" name="Def_v2" sheetId="6" state="visible" r:id="rId6"/>
    <sheet xmlns:r="http://schemas.openxmlformats.org/officeDocument/2006/relationships" name="Trade_Channel" sheetId="7" state="visible" r:id="rId7"/>
    <sheet xmlns:r="http://schemas.openxmlformats.org/officeDocument/2006/relationships" name="Inflation" sheetId="8" state="visible" r:id="rId8"/>
    <sheet xmlns:r="http://schemas.openxmlformats.org/officeDocument/2006/relationships" name="Seasonality" sheetId="9" state="visible" r:id="rId9"/>
    <sheet xmlns:r="http://schemas.openxmlformats.org/officeDocument/2006/relationships" name="Other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\ _₽_-;\-* #,##0\ _₽_-;_-* &quot;-&quot;??\ _₽_-;_-@_-"/>
  </numFmts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FF"/>
      <sz val="10"/>
    </font>
    <font>
      <name val="Calibri"/>
      <charset val="204"/>
      <family val="2"/>
      <color rgb="FF0000FF"/>
      <sz val="10"/>
    </font>
    <font>
      <name val="Calibri"/>
      <charset val="204"/>
      <family val="2"/>
      <color rgb="FF000000"/>
      <sz val="10"/>
    </font>
    <font>
      <name val="Calibri"/>
      <charset val="204"/>
      <family val="2"/>
      <color theme="1"/>
      <sz val="10"/>
    </font>
    <font>
      <name val="Calibri"/>
      <charset val="204"/>
      <family val="2"/>
      <b val="1"/>
      <color rgb="FF000000"/>
      <sz val="11"/>
    </font>
    <font>
      <name val="Calibri"/>
      <b val="1"/>
      <sz val="14"/>
    </font>
    <font>
      <name val="Calibri"/>
      <color rgb="000000FF"/>
      <sz val="11"/>
      <u val="single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8000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/>
      <bottom/>
      <diagonal/>
    </border>
    <border>
      <left/>
      <right/>
      <top style="thin">
        <color rgb="FFB7C9D6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1" fillId="0" borderId="0"/>
    <xf numFmtId="43" fontId="1" fillId="0" borderId="0"/>
  </cellStyleXfs>
  <cellXfs count="29">
    <xf numFmtId="0" fontId="0" fillId="0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164" fontId="0" fillId="0" borderId="0" pivotButton="0" quotePrefix="0" xfId="1"/>
    <xf numFmtId="0" fontId="5" fillId="4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8" fillId="0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6" borderId="0" pivotButton="0" quotePrefix="0" xfId="0"/>
    <xf numFmtId="0" fontId="13" fillId="7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vertical="top" wrapText="1"/>
    </xf>
    <xf numFmtId="0" fontId="15" fillId="0" borderId="6" applyAlignment="1" pivotButton="0" quotePrefix="0" xfId="0">
      <alignment vertical="top" wrapText="1"/>
    </xf>
    <xf numFmtId="0" fontId="16" fillId="0" borderId="6" applyAlignment="1" pivotButton="0" quotePrefix="0" xfId="0">
      <alignment vertical="top" wrapText="1"/>
    </xf>
    <xf numFmtId="0" fontId="17" fillId="8" borderId="2" applyAlignment="1" pivotButton="0" quotePrefix="0" xfId="0">
      <alignment vertical="top" wrapText="1"/>
    </xf>
    <xf numFmtId="0" fontId="2" fillId="2" borderId="2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</cellXfs>
  <cellStyles count="2">
    <cellStyle name="Обычный" xfId="0" builtinId="0"/>
    <cellStyle name="Финансовый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DataDictionary" displayName="DataDictionary" ref="B2:X31" headerRowCount="1">
  <autoFilter ref="B2:X31"/>
  <tableColumns count="23">
    <tableColumn id="2" name="FIELD_CODE"/>
    <tableColumn id="3" name="BUSINESS_NAME_RU"/>
    <tableColumn id="4" name="DESCRIPTION"/>
    <tableColumn id="5" name="ENTITY_LEVEL"/>
    <tableColumn id="6" name="DATA_TYPE"/>
    <tableColumn id="7" name="UNIT"/>
    <tableColumn id="8" name="REQUIRED"/>
    <tableColumn id="9" name="NULLABLE"/>
    <tableColumn id="10" name="DEFAULT_VALUE"/>
    <tableColumn id="11" name="IS_EDITABLE_UI"/>
    <tableColumn id="12" name="IS_IMPORTED"/>
    <tableColumn id="13" name="IS_CALCULATED"/>
    <tableColumn id="14" name="SOURCE_SYSTEM"/>
    <tableColumn id="15" name="FORMULA_TEXT"/>
    <tableColumn id="16" name="FORMULA_DEPENDS_ON"/>
    <tableColumn id="17" name="SCENARIO_AFFECTED"/>
    <tableColumn id="18" name="EXPORTED_TO"/>
    <tableColumn id="19" name="VALIDATION_RULE"/>
    <tableColumn id="20" name="ACCEPTANCE_CHECK"/>
    <tableColumn id="21" name="SCOPE"/>
    <tableColumn id="22" name="PERSISTENCE_MODE"/>
    <tableColumn id="23" name="NOTES"/>
    <tableColumn id="24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ulationPipeline" displayName="CalculationPipeline" ref="B2:I20" headerRowCount="1">
  <autoFilter ref="B2:I20"/>
  <tableColumns count="8">
    <tableColumn id="2" name="STEP_NO"/>
    <tableColumn id="3" name="STEP_NAME"/>
    <tableColumn id="4" name="OUTPUT_FIELD"/>
    <tableColumn id="5" name="LEVEL"/>
    <tableColumn id="6" name="FORMULA_TEXT"/>
    <tableColumn id="7" name="INPUT_FIELDS"/>
    <tableColumn id="8" name="RUN_AFTER_STEP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verridePolicy" displayName="OverridePolicy" ref="B2:J15" headerRowCount="1">
  <autoFilter ref="B2:J15"/>
  <tableColumns count="9">
    <tableColumn id="2" name="FIELD_CODE"/>
    <tableColumn id="3" name="ALLOW_PREDICT"/>
    <tableColumn id="4" name="ALLOW_FINETUNED"/>
    <tableColumn id="5" name="ALLOW_ACTUAL"/>
    <tableColumn id="6" name="ALLOW_SCENARIOADJUSTED"/>
    <tableColumn id="7" name="HYBRID_PRIORITY"/>
    <tableColumn id="8" name="RESET_BEHAVIOR"/>
    <tableColumn id="9" name="VERSIONING_RULE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portMapping" displayName="ExportMapping" ref="B2:G27" headerRowCount="1">
  <autoFilter ref="B2:G27"/>
  <tableColumns count="6">
    <tableColumn id="2" name="FIELD_CODE"/>
    <tableColumn id="3" name="EXPORT_TARGET"/>
    <tableColumn id="4" name="SECTION_BLOCK"/>
    <tableColumn id="5" name="REQUIRED_IN_MVP"/>
    <tableColumn id="6" name="GRANULARITY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Data_Dictionary!A1" TargetMode="External" Id="rId1"/><Relationship Type="http://schemas.openxmlformats.org/officeDocument/2006/relationships/hyperlink" Target="#Calculation_Pipeline!A1" TargetMode="External" Id="rId2"/><Relationship Type="http://schemas.openxmlformats.org/officeDocument/2006/relationships/hyperlink" Target="#Override_Policy!A1" TargetMode="External" Id="rId3"/><Relationship Type="http://schemas.openxmlformats.org/officeDocument/2006/relationships/hyperlink" Target="#Export_Mapping!A1" TargetMode="External" Id="rId4"/><Relationship Type="http://schemas.openxmlformats.org/officeDocument/2006/relationships/hyperlink" Target="#Def_v2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style="16" min="1" max="1"/>
    <col width="90" customWidth="1" style="16" min="2" max="2"/>
  </cols>
  <sheetData>
    <row r="2">
      <c r="B2" s="18" t="inlineStr">
        <is>
          <t>Predikt к ТЗ V2 — implementation workbook</t>
        </is>
      </c>
    </row>
    <row r="3">
      <c r="B3" s="19" t="inlineStr">
        <is>
          <t>Файл дополнен для исключения разночтений между ТЗ, backend, frontend и AI-coding.</t>
        </is>
      </c>
    </row>
    <row r="4">
      <c r="B4" s="19" t="inlineStr">
        <is>
          <t>Новые листы: README, Data_Dictionary, Calculation_Pipeline, Override_Policy, Export_Mapping.</t>
        </is>
      </c>
    </row>
    <row r="6">
      <c r="B6" s="20" t="inlineStr">
        <is>
          <t>Data_Dictionary</t>
        </is>
      </c>
    </row>
    <row r="7">
      <c r="B7" s="20" t="inlineStr">
        <is>
          <t>Calculation_Pipeline</t>
        </is>
      </c>
    </row>
    <row r="8">
      <c r="B8" s="20" t="inlineStr">
        <is>
          <t>Override_Policy</t>
        </is>
      </c>
    </row>
    <row r="9">
      <c r="B9" s="20" t="inlineStr">
        <is>
          <t>Export_Mapping</t>
        </is>
      </c>
    </row>
    <row r="10">
      <c r="B10" s="20" t="inlineStr">
        <is>
          <t>Def_v2</t>
        </is>
      </c>
    </row>
    <row r="13">
      <c r="B13" s="21" t="inlineStr">
        <is>
          <t>Правила использования</t>
        </is>
      </c>
    </row>
    <row r="14">
      <c r="B14" s="19" t="inlineStr">
        <is>
          <t>• Data_Dictionary — канонический словарь полей и требований к ним.</t>
        </is>
      </c>
    </row>
    <row r="15">
      <c r="B15" s="19" t="inlineStr">
        <is>
          <t>• Calculation_Pipeline — обязательный порядок расчёта и зависимости.</t>
        </is>
      </c>
    </row>
    <row r="16">
      <c r="B16" s="19" t="inlineStr">
        <is>
          <t>• Override_Policy — приоритеты predict / finetuned / actual / scenarioadjusted.</t>
        </is>
      </c>
    </row>
    <row r="17">
      <c r="B17" s="19" t="inlineStr">
        <is>
          <t>• Export_Mapping — какие поля обязательны для Web / PDF / PPT / Excel / API.</t>
        </is>
      </c>
    </row>
    <row r="18">
      <c r="B18" s="19" t="inlineStr">
        <is>
          <t>• Исходный лист сохранён без удаления, чтобы не потерять первоначальную логику.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W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6" min="2" max="2"/>
    <col width="28" customWidth="1" style="16" min="3" max="3"/>
    <col width="2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  <col width="18" customWidth="1" style="16" min="12" max="12"/>
    <col width="18" customWidth="1" style="16" min="13" max="13"/>
    <col width="32" customWidth="1" style="16" min="14" max="14"/>
    <col width="28" customWidth="1" style="16" min="15" max="15"/>
    <col width="32" customWidth="1" style="16" min="16" max="16"/>
    <col width="28" customWidth="1" style="16" min="17" max="17"/>
    <col width="32" customWidth="1" style="16" min="18" max="18"/>
    <col width="28" customWidth="1" style="16" min="19" max="19"/>
    <col width="18" customWidth="1" style="16" min="20" max="20"/>
    <col width="32" customWidth="1" style="16" min="21" max="21"/>
    <col width="18" customWidth="1" style="16" min="22" max="22"/>
    <col width="28" customWidth="1" style="16" min="23" max="23"/>
  </cols>
  <sheetData>
    <row r="2">
      <c r="B2" s="22" t="inlineStr">
        <is>
          <t>FIELD_CODE</t>
        </is>
      </c>
      <c r="C2" s="22" t="inlineStr">
        <is>
          <t>BUSINESS_NAME_RU</t>
        </is>
      </c>
      <c r="D2" s="22" t="inlineStr">
        <is>
          <t>DESCRIPTION</t>
        </is>
      </c>
      <c r="E2" s="22" t="inlineStr">
        <is>
          <t>ENTITY_LEVEL</t>
        </is>
      </c>
      <c r="F2" s="22" t="inlineStr">
        <is>
          <t>DATA_TYPE</t>
        </is>
      </c>
      <c r="G2" s="22" t="inlineStr">
        <is>
          <t>UNIT</t>
        </is>
      </c>
      <c r="H2" s="22" t="inlineStr">
        <is>
          <t>REQUIRED</t>
        </is>
      </c>
      <c r="I2" s="22" t="inlineStr">
        <is>
          <t>NULLABLE</t>
        </is>
      </c>
      <c r="J2" s="22" t="inlineStr">
        <is>
          <t>DEFAULT_VALUE</t>
        </is>
      </c>
      <c r="K2" s="22" t="inlineStr">
        <is>
          <t>IS_EDITABLE_UI</t>
        </is>
      </c>
      <c r="L2" s="22" t="inlineStr">
        <is>
          <t>IS_IMPORTED</t>
        </is>
      </c>
      <c r="M2" s="22" t="inlineStr">
        <is>
          <t>IS_CALCULATED</t>
        </is>
      </c>
      <c r="N2" s="22" t="inlineStr">
        <is>
          <t>SOURCE_SYSTEM</t>
        </is>
      </c>
      <c r="O2" s="22" t="inlineStr">
        <is>
          <t>FORMULA_TEXT</t>
        </is>
      </c>
      <c r="P2" s="22" t="inlineStr">
        <is>
          <t>FORMULA_DEPENDS_ON</t>
        </is>
      </c>
      <c r="Q2" s="22" t="inlineStr">
        <is>
          <t>SCENARIO_AFFECTED</t>
        </is>
      </c>
      <c r="R2" s="22" t="inlineStr">
        <is>
          <t>EXPORTED_TO</t>
        </is>
      </c>
      <c r="S2" s="22" t="inlineStr">
        <is>
          <t>VALIDATION_RULE</t>
        </is>
      </c>
      <c r="T2" s="22" t="inlineStr">
        <is>
          <t>ACCEPTANCE_CHECK</t>
        </is>
      </c>
      <c r="U2" s="22" t="inlineStr">
        <is>
          <t>SCOPE</t>
        </is>
      </c>
      <c r="V2" s="22" t="inlineStr">
        <is>
          <t>PERSISTENCE_MODE</t>
        </is>
      </c>
      <c r="W2" s="22" t="inlineStr">
        <is>
          <t>NOTES</t>
        </is>
      </c>
    </row>
    <row r="3">
      <c r="B3" s="23" t="inlineStr">
        <is>
          <t>DISCOUNTRATE</t>
        </is>
      </c>
      <c r="C3" s="23" t="inlineStr">
        <is>
          <t>WACC / ставка дисконтирования</t>
        </is>
      </c>
      <c r="D3" s="23" t="inlineStr">
        <is>
          <t>Используется для NPV/IRR/Go-NoGo</t>
        </is>
      </c>
      <c r="E3" s="23" t="inlineStr">
        <is>
          <t>Project</t>
        </is>
      </c>
      <c r="F3" s="23" t="inlineStr">
        <is>
          <t>percent</t>
        </is>
      </c>
      <c r="G3" s="23" t="inlineStr">
        <is>
          <t>%</t>
        </is>
      </c>
      <c r="H3" s="24" t="inlineStr">
        <is>
          <t>Yes</t>
        </is>
      </c>
      <c r="I3" s="23" t="inlineStr">
        <is>
          <t>No</t>
        </is>
      </c>
      <c r="J3" s="23" t="inlineStr"/>
      <c r="K3" s="24" t="inlineStr">
        <is>
          <t>Yes</t>
        </is>
      </c>
      <c r="L3" s="23" t="inlineStr">
        <is>
          <t>No</t>
        </is>
      </c>
      <c r="M3" s="23" t="inlineStr">
        <is>
          <t>No</t>
        </is>
      </c>
      <c r="N3" s="23" t="inlineStr">
        <is>
          <t>UI/Project setup</t>
        </is>
      </c>
      <c r="O3" s="23" t="inlineStr"/>
      <c r="P3" s="23" t="inlineStr"/>
      <c r="Q3" s="23" t="inlineStr">
        <is>
          <t>No</t>
        </is>
      </c>
      <c r="R3" s="23" t="inlineStr">
        <is>
          <t>Web,PDF,PPT,Excel,API</t>
        </is>
      </c>
      <c r="S3" s="23" t="inlineStr">
        <is>
          <t>0&lt;=x&lt;=1</t>
        </is>
      </c>
      <c r="T3" s="23" t="inlineStr">
        <is>
          <t>NPV считается без ошибки</t>
        </is>
      </c>
      <c r="U3" s="23" t="inlineStr">
        <is>
          <t>MVP</t>
        </is>
      </c>
      <c r="V3" s="23" t="inlineStr">
        <is>
          <t>Persisted</t>
        </is>
      </c>
      <c r="W3" s="23" t="inlineStr">
        <is>
          <t>Project-level only</t>
        </is>
      </c>
    </row>
    <row r="4">
      <c r="B4" s="23" t="inlineStr">
        <is>
          <t>TAXRATE</t>
        </is>
      </c>
      <c r="C4" s="23" t="inlineStr">
        <is>
          <t>Ставка налога</t>
        </is>
      </c>
      <c r="D4" s="23" t="inlineStr">
        <is>
          <t>Налоговая ставка проекта</t>
        </is>
      </c>
      <c r="E4" s="23" t="inlineStr">
        <is>
          <t>Project</t>
        </is>
      </c>
      <c r="F4" s="23" t="inlineStr">
        <is>
          <t>percent</t>
        </is>
      </c>
      <c r="G4" s="23" t="inlineStr">
        <is>
          <t>%</t>
        </is>
      </c>
      <c r="H4" s="24" t="inlineStr">
        <is>
          <t>Yes</t>
        </is>
      </c>
      <c r="I4" s="23" t="inlineStr">
        <is>
          <t>No</t>
        </is>
      </c>
      <c r="J4" s="23" t="inlineStr"/>
      <c r="K4" s="24" t="inlineStr">
        <is>
          <t>Yes</t>
        </is>
      </c>
      <c r="L4" s="23" t="inlineStr">
        <is>
          <t>No</t>
        </is>
      </c>
      <c r="M4" s="23" t="inlineStr">
        <is>
          <t>No</t>
        </is>
      </c>
      <c r="N4" s="23" t="inlineStr">
        <is>
          <t>UI/Project setup</t>
        </is>
      </c>
      <c r="O4" s="23" t="inlineStr"/>
      <c r="P4" s="23" t="inlineStr"/>
      <c r="Q4" s="23" t="inlineStr">
        <is>
          <t>No</t>
        </is>
      </c>
      <c r="R4" s="23" t="inlineStr">
        <is>
          <t>Web,Excel,API</t>
        </is>
      </c>
      <c r="S4" s="23" t="inlineStr">
        <is>
          <t>0&lt;=x&lt;=1</t>
        </is>
      </c>
      <c r="T4" s="23" t="inlineStr">
        <is>
          <t>PROFITTAX считается без ошибки</t>
        </is>
      </c>
      <c r="U4" s="23" t="inlineStr">
        <is>
          <t>MVP</t>
        </is>
      </c>
      <c r="V4" s="23" t="inlineStr">
        <is>
          <t>Persisted</t>
        </is>
      </c>
      <c r="W4" s="23" t="inlineStr">
        <is>
          <t>Project-level only</t>
        </is>
      </c>
    </row>
    <row r="5">
      <c r="B5" s="23" t="inlineStr">
        <is>
          <t>INFLATIONPROFILE</t>
        </is>
      </c>
      <c r="C5" s="23" t="inlineStr">
        <is>
          <t>Профиль инфляции</t>
        </is>
      </c>
      <c r="D5" s="23" t="inlineStr">
        <is>
          <t>Профиль индексации цен/затрат</t>
        </is>
      </c>
      <c r="E5" s="23" t="inlineStr">
        <is>
          <t>Project</t>
        </is>
      </c>
      <c r="F5" s="23" t="inlineStr">
        <is>
          <t>enum</t>
        </is>
      </c>
      <c r="G5" s="23" t="inlineStr">
        <is>
          <t>profile code</t>
        </is>
      </c>
      <c r="H5" s="24" t="inlineStr">
        <is>
          <t>Yes</t>
        </is>
      </c>
      <c r="I5" s="23" t="inlineStr">
        <is>
          <t>No</t>
        </is>
      </c>
      <c r="J5" s="23" t="inlineStr">
        <is>
          <t>NoInflation</t>
        </is>
      </c>
      <c r="K5" s="24" t="inlineStr">
        <is>
          <t>Yes</t>
        </is>
      </c>
      <c r="L5" s="23" t="inlineStr">
        <is>
          <t>No</t>
        </is>
      </c>
      <c r="M5" s="23" t="inlineStr">
        <is>
          <t>No</t>
        </is>
      </c>
      <c r="N5" s="23" t="inlineStr">
        <is>
          <t>Master data/UI</t>
        </is>
      </c>
      <c r="O5" s="23" t="inlineStr"/>
      <c r="P5" s="23" t="inlineStr"/>
      <c r="Q5" s="23" t="inlineStr">
        <is>
          <t>Yes</t>
        </is>
      </c>
      <c r="R5" s="23" t="inlineStr">
        <is>
          <t>Excel,API</t>
        </is>
      </c>
      <c r="S5" s="23" t="inlineStr">
        <is>
          <t>Value in Inflation sheet</t>
        </is>
      </c>
      <c r="T5" s="23" t="inlineStr">
        <is>
          <t>Применяется по pipeline</t>
        </is>
      </c>
      <c r="U5" s="23" t="inlineStr">
        <is>
          <t>MVP</t>
        </is>
      </c>
      <c r="V5" s="23" t="inlineStr">
        <is>
          <t>Persisted</t>
        </is>
      </c>
      <c r="W5" s="23" t="inlineStr">
        <is>
          <t>Project-level only</t>
        </is>
      </c>
    </row>
    <row r="6">
      <c r="B6" s="23" t="inlineStr">
        <is>
          <t>PROJECTSTARTDATE</t>
        </is>
      </c>
      <c r="C6" s="23" t="inlineStr">
        <is>
          <t>Дата старта проекта</t>
        </is>
      </c>
      <c r="D6" s="23" t="inlineStr">
        <is>
          <t>Точка отсчета M1</t>
        </is>
      </c>
      <c r="E6" s="23" t="inlineStr">
        <is>
          <t>Project</t>
        </is>
      </c>
      <c r="F6" s="23" t="inlineStr">
        <is>
          <t>date</t>
        </is>
      </c>
      <c r="G6" s="23" t="inlineStr">
        <is>
          <t>date</t>
        </is>
      </c>
      <c r="H6" s="24" t="inlineStr">
        <is>
          <t>Yes</t>
        </is>
      </c>
      <c r="I6" s="23" t="inlineStr">
        <is>
          <t>No</t>
        </is>
      </c>
      <c r="J6" s="23" t="inlineStr"/>
      <c r="K6" s="24" t="inlineStr">
        <is>
          <t>Yes</t>
        </is>
      </c>
      <c r="L6" s="23" t="inlineStr">
        <is>
          <t>No</t>
        </is>
      </c>
      <c r="M6" s="23" t="inlineStr">
        <is>
          <t>No</t>
        </is>
      </c>
      <c r="N6" s="23" t="inlineStr">
        <is>
          <t>UI</t>
        </is>
      </c>
      <c r="O6" s="23" t="inlineStr"/>
      <c r="P6" s="23" t="inlineStr"/>
      <c r="Q6" s="23" t="inlineStr">
        <is>
          <t>No</t>
        </is>
      </c>
      <c r="R6" s="23" t="inlineStr">
        <is>
          <t>Web,Excel,API</t>
        </is>
      </c>
      <c r="S6" s="23" t="inlineStr">
        <is>
          <t>Valid date</t>
        </is>
      </c>
      <c r="T6" s="23" t="inlineStr">
        <is>
          <t>M1 строится корректно</t>
        </is>
      </c>
      <c r="U6" s="23" t="inlineStr">
        <is>
          <t>MVP</t>
        </is>
      </c>
      <c r="V6" s="23" t="inlineStr">
        <is>
          <t>Persisted</t>
        </is>
      </c>
      <c r="W6" s="23" t="inlineStr">
        <is>
          <t>Project-level only</t>
        </is>
      </c>
    </row>
    <row r="7">
      <c r="B7" s="23" t="inlineStr">
        <is>
          <t>PROJECTHORIZONY</t>
        </is>
      </c>
      <c r="C7" s="23" t="inlineStr">
        <is>
          <t>Горизонт проекта</t>
        </is>
      </c>
      <c r="D7" s="23" t="inlineStr">
        <is>
          <t>Горизонт расчёта в годах</t>
        </is>
      </c>
      <c r="E7" s="23" t="inlineStr">
        <is>
          <t>Project</t>
        </is>
      </c>
      <c r="F7" s="23" t="inlineStr">
        <is>
          <t>integer</t>
        </is>
      </c>
      <c r="G7" s="23" t="inlineStr">
        <is>
          <t>years</t>
        </is>
      </c>
      <c r="H7" s="24" t="inlineStr">
        <is>
          <t>Yes</t>
        </is>
      </c>
      <c r="I7" s="23" t="inlineStr">
        <is>
          <t>No</t>
        </is>
      </c>
      <c r="J7" s="23" t="inlineStr">
        <is>
          <t>10</t>
        </is>
      </c>
      <c r="K7" s="24" t="inlineStr">
        <is>
          <t>Yes</t>
        </is>
      </c>
      <c r="L7" s="23" t="inlineStr">
        <is>
          <t>No</t>
        </is>
      </c>
      <c r="M7" s="23" t="inlineStr">
        <is>
          <t>No</t>
        </is>
      </c>
      <c r="N7" s="23" t="inlineStr">
        <is>
          <t>UI</t>
        </is>
      </c>
      <c r="O7" s="23" t="inlineStr"/>
      <c r="P7" s="23" t="inlineStr"/>
      <c r="Q7" s="23" t="inlineStr">
        <is>
          <t>No</t>
        </is>
      </c>
      <c r="R7" s="23" t="inlineStr">
        <is>
          <t>Web,PDF,PPT,Excel,API</t>
        </is>
      </c>
      <c r="S7" s="23" t="inlineStr">
        <is>
          <t>Value in {7,10}</t>
        </is>
      </c>
      <c r="T7" s="23" t="inlineStr">
        <is>
          <t>Y1-Y10 строятся корректно</t>
        </is>
      </c>
      <c r="U7" s="23" t="inlineStr">
        <is>
          <t>MVP</t>
        </is>
      </c>
      <c r="V7" s="23" t="inlineStr">
        <is>
          <t>Persisted</t>
        </is>
      </c>
      <c r="W7" s="23" t="inlineStr">
        <is>
          <t>Проверить нейминг</t>
        </is>
      </c>
    </row>
    <row r="8">
      <c r="B8" s="23" t="inlineStr">
        <is>
          <t>SCENARIODELTAND</t>
        </is>
      </c>
      <c r="C8" s="23" t="inlineStr">
        <is>
          <t>Дельта ND сценария</t>
        </is>
      </c>
      <c r="D8" s="23" t="inlineStr">
        <is>
          <t>Изменение ND относительно Base</t>
        </is>
      </c>
      <c r="E8" s="23" t="inlineStr">
        <is>
          <t>Scenario</t>
        </is>
      </c>
      <c r="F8" s="23" t="inlineStr">
        <is>
          <t>percent</t>
        </is>
      </c>
      <c r="G8" s="23" t="inlineStr">
        <is>
          <t>%</t>
        </is>
      </c>
      <c r="H8" s="24" t="inlineStr">
        <is>
          <t>Yes</t>
        </is>
      </c>
      <c r="I8" s="23" t="inlineStr">
        <is>
          <t>No</t>
        </is>
      </c>
      <c r="J8" s="23" t="inlineStr">
        <is>
          <t>0</t>
        </is>
      </c>
      <c r="K8" s="24" t="inlineStr">
        <is>
          <t>Yes</t>
        </is>
      </c>
      <c r="L8" s="23" t="inlineStr">
        <is>
          <t>No</t>
        </is>
      </c>
      <c r="M8" s="23" t="inlineStr">
        <is>
          <t>No</t>
        </is>
      </c>
      <c r="N8" s="23" t="inlineStr">
        <is>
          <t>UI</t>
        </is>
      </c>
      <c r="O8" s="23" t="inlineStr"/>
      <c r="P8" s="23" t="inlineStr">
        <is>
          <t>NDPLAN</t>
        </is>
      </c>
      <c r="Q8" s="23" t="inlineStr">
        <is>
          <t>Yes</t>
        </is>
      </c>
      <c r="R8" s="23" t="inlineStr">
        <is>
          <t>Web,PDF,PPT,Excel,API</t>
        </is>
      </c>
      <c r="S8" s="23" t="inlineStr">
        <is>
          <t>-1&lt;=x&lt;=1</t>
        </is>
      </c>
      <c r="T8" s="23" t="inlineStr">
        <is>
          <t>Scenario KPI пересчитываются</t>
        </is>
      </c>
      <c r="U8" s="23" t="inlineStr">
        <is>
          <t>MVP</t>
        </is>
      </c>
      <c r="V8" s="23" t="inlineStr">
        <is>
          <t>Persisted</t>
        </is>
      </c>
      <c r="W8" s="23" t="inlineStr">
        <is>
          <t>Applies to Base-derived values</t>
        </is>
      </c>
    </row>
    <row r="9">
      <c r="B9" s="23" t="inlineStr">
        <is>
          <t>SCENARIODELTAOFFTAKE</t>
        </is>
      </c>
      <c r="C9" s="23" t="inlineStr">
        <is>
          <t>Дельта Off-take сценария</t>
        </is>
      </c>
      <c r="D9" s="23" t="inlineStr">
        <is>
          <t>Изменение Off-take относительно Base</t>
        </is>
      </c>
      <c r="E9" s="23" t="inlineStr">
        <is>
          <t>Scenario</t>
        </is>
      </c>
      <c r="F9" s="23" t="inlineStr">
        <is>
          <t>percent</t>
        </is>
      </c>
      <c r="G9" s="23" t="inlineStr">
        <is>
          <t>%</t>
        </is>
      </c>
      <c r="H9" s="24" t="inlineStr">
        <is>
          <t>Yes</t>
        </is>
      </c>
      <c r="I9" s="23" t="inlineStr">
        <is>
          <t>No</t>
        </is>
      </c>
      <c r="J9" s="23" t="inlineStr">
        <is>
          <t>0</t>
        </is>
      </c>
      <c r="K9" s="24" t="inlineStr">
        <is>
          <t>Yes</t>
        </is>
      </c>
      <c r="L9" s="23" t="inlineStr">
        <is>
          <t>No</t>
        </is>
      </c>
      <c r="M9" s="23" t="inlineStr">
        <is>
          <t>No</t>
        </is>
      </c>
      <c r="N9" s="23" t="inlineStr">
        <is>
          <t>UI</t>
        </is>
      </c>
      <c r="O9" s="23" t="inlineStr"/>
      <c r="P9" s="23" t="inlineStr">
        <is>
          <t>OFFTAKEPLAN</t>
        </is>
      </c>
      <c r="Q9" s="23" t="inlineStr">
        <is>
          <t>Yes</t>
        </is>
      </c>
      <c r="R9" s="23" t="inlineStr">
        <is>
          <t>Web,PDF,PPT,Excel,API</t>
        </is>
      </c>
      <c r="S9" s="23" t="inlineStr">
        <is>
          <t>-1&lt;=x&lt;=1</t>
        </is>
      </c>
      <c r="T9" s="23" t="inlineStr">
        <is>
          <t>Scenario KPI пересчитываются</t>
        </is>
      </c>
      <c r="U9" s="23" t="inlineStr">
        <is>
          <t>MVP</t>
        </is>
      </c>
      <c r="V9" s="23" t="inlineStr">
        <is>
          <t>Persisted</t>
        </is>
      </c>
      <c r="W9" s="23" t="inlineStr">
        <is>
          <t>Applies to Base-derived values</t>
        </is>
      </c>
    </row>
    <row r="10">
      <c r="B10" s="23" t="inlineStr">
        <is>
          <t>SCENARIODELTAOPEX</t>
        </is>
      </c>
      <c r="C10" s="23" t="inlineStr">
        <is>
          <t>Дельта OPEX сценария</t>
        </is>
      </c>
      <c r="D10" s="23" t="inlineStr">
        <is>
          <t>Изменение OPEX относительно Base</t>
        </is>
      </c>
      <c r="E10" s="23" t="inlineStr">
        <is>
          <t>Scenario</t>
        </is>
      </c>
      <c r="F10" s="23" t="inlineStr">
        <is>
          <t>percent</t>
        </is>
      </c>
      <c r="G10" s="23" t="inlineStr">
        <is>
          <t>%</t>
        </is>
      </c>
      <c r="H10" s="24" t="inlineStr">
        <is>
          <t>Yes</t>
        </is>
      </c>
      <c r="I10" s="23" t="inlineStr">
        <is>
          <t>No</t>
        </is>
      </c>
      <c r="J10" s="23" t="inlineStr">
        <is>
          <t>0</t>
        </is>
      </c>
      <c r="K10" s="24" t="inlineStr">
        <is>
          <t>Yes</t>
        </is>
      </c>
      <c r="L10" s="23" t="inlineStr">
        <is>
          <t>No</t>
        </is>
      </c>
      <c r="M10" s="23" t="inlineStr">
        <is>
          <t>No</t>
        </is>
      </c>
      <c r="N10" s="23" t="inlineStr">
        <is>
          <t>UI</t>
        </is>
      </c>
      <c r="O10" s="23" t="inlineStr"/>
      <c r="P10" s="23" t="inlineStr">
        <is>
          <t>TRADEMARKETING,CONSUMERMARKETING,SALESEXPENSES</t>
        </is>
      </c>
      <c r="Q10" s="23" t="inlineStr">
        <is>
          <t>Yes</t>
        </is>
      </c>
      <c r="R10" s="23" t="inlineStr">
        <is>
          <t>Web,PDF,PPT,Excel,API</t>
        </is>
      </c>
      <c r="S10" s="23" t="inlineStr">
        <is>
          <t>-1&lt;=x&lt;=1</t>
        </is>
      </c>
      <c r="T10" s="23" t="inlineStr">
        <is>
          <t>Scenario KPI пересчитываются</t>
        </is>
      </c>
      <c r="U10" s="23" t="inlineStr">
        <is>
          <t>MVP</t>
        </is>
      </c>
      <c r="V10" s="23" t="inlineStr">
        <is>
          <t>Persisted</t>
        </is>
      </c>
      <c r="W10" s="23" t="inlineStr">
        <is>
          <t>Applies to Base-derived values</t>
        </is>
      </c>
    </row>
    <row r="11">
      <c r="B11" s="23" t="inlineStr">
        <is>
          <t>NDPLAN</t>
        </is>
      </c>
      <c r="C11" s="23" t="inlineStr">
        <is>
          <t>ND план</t>
        </is>
      </c>
      <c r="D11" s="23" t="inlineStr">
        <is>
          <t>Доля покрытия канала/точек</t>
        </is>
      </c>
      <c r="E11" s="23" t="inlineStr">
        <is>
          <t>PeriodValue</t>
        </is>
      </c>
      <c r="F11" s="23" t="inlineStr">
        <is>
          <t>percent</t>
        </is>
      </c>
      <c r="G11" s="23" t="inlineStr">
        <is>
          <t>%</t>
        </is>
      </c>
      <c r="H11" s="24" t="inlineStr">
        <is>
          <t>Yes</t>
        </is>
      </c>
      <c r="I11" s="24" t="inlineStr">
        <is>
          <t>Yes</t>
        </is>
      </c>
      <c r="J11" s="23" t="inlineStr"/>
      <c r="K11" s="24" t="inlineStr">
        <is>
          <t>Yes</t>
        </is>
      </c>
      <c r="L11" s="24" t="inlineStr">
        <is>
          <t>Yes</t>
        </is>
      </c>
      <c r="M11" s="23" t="inlineStr">
        <is>
          <t>No</t>
        </is>
      </c>
      <c r="N11" s="23" t="inlineStr">
        <is>
          <t>Predict/Benchmarks/UI/Actual</t>
        </is>
      </c>
      <c r="O11" s="23" t="inlineStr"/>
      <c r="P11" s="23" t="inlineStr">
        <is>
          <t>NDBENCH,NDFACTOR</t>
        </is>
      </c>
      <c r="Q11" s="23" t="inlineStr">
        <is>
          <t>Yes</t>
        </is>
      </c>
      <c r="R11" s="23" t="inlineStr">
        <is>
          <t>Web,Excel,API</t>
        </is>
      </c>
      <c r="S11" s="23" t="inlineStr">
        <is>
          <t>0&lt;=x&lt;=1</t>
        </is>
      </c>
      <c r="T11" s="23" t="inlineStr">
        <is>
          <t>OUTLETSCOUNT считается без ошибки</t>
        </is>
      </c>
      <c r="U11" s="23" t="inlineStr">
        <is>
          <t>MVP</t>
        </is>
      </c>
      <c r="V11" s="23" t="inlineStr">
        <is>
          <t>Persisted</t>
        </is>
      </c>
      <c r="W11" s="23" t="inlineStr">
        <is>
          <t>Hybrid priority applies</t>
        </is>
      </c>
    </row>
    <row r="12">
      <c r="B12" s="23" t="inlineStr">
        <is>
          <t>OFFTAKEPLAN</t>
        </is>
      </c>
      <c r="C12" s="23" t="inlineStr">
        <is>
          <t>Off-take план</t>
        </is>
      </c>
      <c r="D12" s="23" t="inlineStr">
        <is>
          <t>Плановый off-take на 1 outlet</t>
        </is>
      </c>
      <c r="E12" s="23" t="inlineStr">
        <is>
          <t>PeriodValue</t>
        </is>
      </c>
      <c r="F12" s="23" t="inlineStr">
        <is>
          <t>decimal</t>
        </is>
      </c>
      <c r="G12" s="23" t="inlineStr">
        <is>
          <t>units/outlet</t>
        </is>
      </c>
      <c r="H12" s="24" t="inlineStr">
        <is>
          <t>Yes</t>
        </is>
      </c>
      <c r="I12" s="24" t="inlineStr">
        <is>
          <t>Yes</t>
        </is>
      </c>
      <c r="J12" s="23" t="inlineStr"/>
      <c r="K12" s="24" t="inlineStr">
        <is>
          <t>Yes</t>
        </is>
      </c>
      <c r="L12" s="24" t="inlineStr">
        <is>
          <t>Yes</t>
        </is>
      </c>
      <c r="M12" s="23" t="inlineStr">
        <is>
          <t>No</t>
        </is>
      </c>
      <c r="N12" s="23" t="inlineStr">
        <is>
          <t>Predict/Benchmarks/UI/Actual</t>
        </is>
      </c>
      <c r="O12" s="23" t="inlineStr"/>
      <c r="P12" s="23" t="inlineStr">
        <is>
          <t>OFFTAKEBENCH,OFFTAKEFACTOR,SEASONALITYCOEFF</t>
        </is>
      </c>
      <c r="Q12" s="23" t="inlineStr">
        <is>
          <t>Yes</t>
        </is>
      </c>
      <c r="R12" s="23" t="inlineStr">
        <is>
          <t>Web,Excel,API</t>
        </is>
      </c>
      <c r="S12" s="23" t="inlineStr">
        <is>
          <t>x&gt;=0</t>
        </is>
      </c>
      <c r="T12" s="23" t="inlineStr">
        <is>
          <t>VOLUMEUNITS считается без ошибки</t>
        </is>
      </c>
      <c r="U12" s="23" t="inlineStr">
        <is>
          <t>MVP</t>
        </is>
      </c>
      <c r="V12" s="23" t="inlineStr">
        <is>
          <t>Persisted</t>
        </is>
      </c>
      <c r="W12" s="23" t="inlineStr">
        <is>
          <t>Hybrid priority applies</t>
        </is>
      </c>
    </row>
    <row r="13">
      <c r="B13" s="23" t="inlineStr">
        <is>
          <t>SEASONALITYCOEFF</t>
        </is>
      </c>
      <c r="C13" s="23" t="inlineStr">
        <is>
          <t>Коэффициент сезонности</t>
        </is>
      </c>
      <c r="D13" s="23" t="inlineStr">
        <is>
          <t>Коэффициент по профилю сезонности</t>
        </is>
      </c>
      <c r="E13" s="23" t="inlineStr">
        <is>
          <t>PeriodValue</t>
        </is>
      </c>
      <c r="F13" s="23" t="inlineStr">
        <is>
          <t>decimal</t>
        </is>
      </c>
      <c r="G13" s="23" t="inlineStr">
        <is>
          <t>coef</t>
        </is>
      </c>
      <c r="H13" s="24" t="inlineStr">
        <is>
          <t>Yes</t>
        </is>
      </c>
      <c r="I13" s="23" t="inlineStr">
        <is>
          <t>No</t>
        </is>
      </c>
      <c r="J13" s="23" t="inlineStr">
        <is>
          <t>1</t>
        </is>
      </c>
      <c r="K13" s="23" t="inlineStr">
        <is>
          <t>No</t>
        </is>
      </c>
      <c r="L13" s="24" t="inlineStr">
        <is>
          <t>Yes</t>
        </is>
      </c>
      <c r="M13" s="24" t="inlineStr">
        <is>
          <t>Yes</t>
        </is>
      </c>
      <c r="N13" s="23" t="inlineStr">
        <is>
          <t>Seasonality lookup</t>
        </is>
      </c>
      <c r="O13" s="25">
        <f>lookup by profile/month</f>
        <v/>
      </c>
      <c r="P13" s="23" t="inlineStr">
        <is>
          <t>SEASONALITYPROFILE,Period</t>
        </is>
      </c>
      <c r="Q13" s="23" t="inlineStr">
        <is>
          <t>Yes</t>
        </is>
      </c>
      <c r="R13" s="23" t="inlineStr">
        <is>
          <t>Excel,API</t>
        </is>
      </c>
      <c r="S13" s="23" t="inlineStr">
        <is>
          <t>x&gt;=0</t>
        </is>
      </c>
      <c r="T13" s="23" t="inlineStr">
        <is>
          <t>VOLUMEUNITS считается без ошибки</t>
        </is>
      </c>
      <c r="U13" s="23" t="inlineStr">
        <is>
          <t>MVP</t>
        </is>
      </c>
      <c r="V13" s="23" t="inlineStr">
        <is>
          <t>Calculated</t>
        </is>
      </c>
      <c r="W13" s="23" t="inlineStr">
        <is>
          <t>Derived from profile</t>
        </is>
      </c>
    </row>
    <row r="14">
      <c r="B14" s="23" t="inlineStr">
        <is>
          <t>VOLUMEUNITS</t>
        </is>
      </c>
      <c r="C14" s="23" t="inlineStr">
        <is>
          <t>Объем продаж, шт</t>
        </is>
      </c>
      <c r="D14" s="23" t="inlineStr">
        <is>
          <t>Помесячный/годовой объём в штуках</t>
        </is>
      </c>
      <c r="E14" s="23" t="inlineStr">
        <is>
          <t>PeriodValue</t>
        </is>
      </c>
      <c r="F14" s="23" t="inlineStr">
        <is>
          <t>decimal</t>
        </is>
      </c>
      <c r="G14" s="23" t="inlineStr">
        <is>
          <t>units</t>
        </is>
      </c>
      <c r="H14" s="24" t="inlineStr">
        <is>
          <t>Yes</t>
        </is>
      </c>
      <c r="I14" s="23" t="inlineStr">
        <is>
          <t>No</t>
        </is>
      </c>
      <c r="J14" s="23" t="inlineStr"/>
      <c r="K14" s="23" t="inlineStr">
        <is>
          <t>No</t>
        </is>
      </c>
      <c r="L14" s="23" t="inlineStr">
        <is>
          <t>No</t>
        </is>
      </c>
      <c r="M14" s="24" t="inlineStr">
        <is>
          <t>Yes</t>
        </is>
      </c>
      <c r="N14" s="23" t="inlineStr">
        <is>
          <t>Calculation engine</t>
        </is>
      </c>
      <c r="O14" s="25">
        <f>ACTIVEOUTLETS*OFFTAKEPLAN*SEASONALITYCOEFF</f>
        <v/>
      </c>
      <c r="P14" s="23" t="inlineStr">
        <is>
          <t>ACTIVEOUTLETS,OFFTAKEPLAN,SEASONALITYCOEFF</t>
        </is>
      </c>
      <c r="Q14" s="23" t="inlineStr">
        <is>
          <t>Yes</t>
        </is>
      </c>
      <c r="R14" s="23" t="inlineStr">
        <is>
          <t>Web,PDF,PPT,Excel,API</t>
        </is>
      </c>
      <c r="S14" s="23" t="inlineStr">
        <is>
          <t>x&gt;=0</t>
        </is>
      </c>
      <c r="T14" s="23" t="inlineStr">
        <is>
          <t>Нет ошибок расчета и пустых mandatory</t>
        </is>
      </c>
      <c r="U14" s="23" t="inlineStr">
        <is>
          <t>MVP</t>
        </is>
      </c>
      <c r="V14" s="23" t="inlineStr">
        <is>
          <t>Calculated</t>
        </is>
      </c>
      <c r="W14" s="23" t="inlineStr">
        <is>
          <t>Core driver</t>
        </is>
      </c>
    </row>
    <row r="15">
      <c r="B15" s="23" t="inlineStr">
        <is>
          <t>SHELFPRICEREG</t>
        </is>
      </c>
      <c r="C15" s="23" t="inlineStr">
        <is>
          <t>Полочная цена regular</t>
        </is>
      </c>
      <c r="D15" s="23" t="inlineStr">
        <is>
          <t>Регулярная цена на полке</t>
        </is>
      </c>
      <c r="E15" s="23" t="inlineStr">
        <is>
          <t>PeriodValue</t>
        </is>
      </c>
      <c r="F15" s="23" t="inlineStr">
        <is>
          <t>currency</t>
        </is>
      </c>
      <c r="G15" s="23" t="inlineStr">
        <is>
          <t>RUB</t>
        </is>
      </c>
      <c r="H15" s="24" t="inlineStr">
        <is>
          <t>Yes</t>
        </is>
      </c>
      <c r="I15" s="24" t="inlineStr">
        <is>
          <t>Yes</t>
        </is>
      </c>
      <c r="J15" s="23" t="inlineStr"/>
      <c r="K15" s="24" t="inlineStr">
        <is>
          <t>Yes</t>
        </is>
      </c>
      <c r="L15" s="24" t="inlineStr">
        <is>
          <t>Yes</t>
        </is>
      </c>
      <c r="M15" s="23" t="inlineStr">
        <is>
          <t>No</t>
        </is>
      </c>
      <c r="N15" s="23" t="inlineStr">
        <is>
          <t>Predict/UI/Actual</t>
        </is>
      </c>
      <c r="O15" s="23" t="inlineStr"/>
      <c r="P15" s="23" t="inlineStr"/>
      <c r="Q15" s="23" t="inlineStr">
        <is>
          <t>Yes</t>
        </is>
      </c>
      <c r="R15" s="23" t="inlineStr">
        <is>
          <t>Web,Excel,API</t>
        </is>
      </c>
      <c r="S15" s="23" t="inlineStr">
        <is>
          <t>x&gt;=0</t>
        </is>
      </c>
      <c r="T15" s="23" t="inlineStr">
        <is>
          <t>Weighted price считается без ошибки</t>
        </is>
      </c>
      <c r="U15" s="23" t="inlineStr">
        <is>
          <t>MVP</t>
        </is>
      </c>
      <c r="V15" s="23" t="inlineStr">
        <is>
          <t>Persisted</t>
        </is>
      </c>
      <c r="W15" s="23" t="inlineStr">
        <is>
          <t>Hybrid priority applies</t>
        </is>
      </c>
    </row>
    <row r="16">
      <c r="B16" s="23" t="inlineStr">
        <is>
          <t>PROMODISCOUNT</t>
        </is>
      </c>
      <c r="C16" s="23" t="inlineStr">
        <is>
          <t>Промо скидка</t>
        </is>
      </c>
      <c r="D16" s="23" t="inlineStr">
        <is>
          <t>Скидка относительно regular</t>
        </is>
      </c>
      <c r="E16" s="23" t="inlineStr">
        <is>
          <t>PeriodValue</t>
        </is>
      </c>
      <c r="F16" s="23" t="inlineStr">
        <is>
          <t>percent</t>
        </is>
      </c>
      <c r="G16" s="23" t="inlineStr">
        <is>
          <t>%</t>
        </is>
      </c>
      <c r="H16" s="24" t="inlineStr">
        <is>
          <t>Yes</t>
        </is>
      </c>
      <c r="I16" s="24" t="inlineStr">
        <is>
          <t>Yes</t>
        </is>
      </c>
      <c r="J16" s="23" t="inlineStr">
        <is>
          <t>0</t>
        </is>
      </c>
      <c r="K16" s="24" t="inlineStr">
        <is>
          <t>Yes</t>
        </is>
      </c>
      <c r="L16" s="24" t="inlineStr">
        <is>
          <t>Yes</t>
        </is>
      </c>
      <c r="M16" s="23" t="inlineStr">
        <is>
          <t>No</t>
        </is>
      </c>
      <c r="N16" s="23" t="inlineStr">
        <is>
          <t>Predict/UI/Actual</t>
        </is>
      </c>
      <c r="O16" s="23" t="inlineStr"/>
      <c r="P16" s="23" t="inlineStr">
        <is>
          <t>SHELFPRICEREG</t>
        </is>
      </c>
      <c r="Q16" s="23" t="inlineStr">
        <is>
          <t>Yes</t>
        </is>
      </c>
      <c r="R16" s="23" t="inlineStr">
        <is>
          <t>Web,Excel,API</t>
        </is>
      </c>
      <c r="S16" s="23" t="inlineStr">
        <is>
          <t>0&lt;=x&lt;=1</t>
        </is>
      </c>
      <c r="T16" s="23" t="inlineStr">
        <is>
          <t>Promo price считается без ошибки</t>
        </is>
      </c>
      <c r="U16" s="23" t="inlineStr">
        <is>
          <t>MVP</t>
        </is>
      </c>
      <c r="V16" s="23" t="inlineStr">
        <is>
          <t>Persisted</t>
        </is>
      </c>
      <c r="W16" s="23" t="inlineStr">
        <is>
          <t>Hybrid priority applies</t>
        </is>
      </c>
    </row>
    <row r="17">
      <c r="B17" s="23" t="inlineStr">
        <is>
          <t>PROMOSHARE</t>
        </is>
      </c>
      <c r="C17" s="23" t="inlineStr">
        <is>
          <t>Промо доля</t>
        </is>
      </c>
      <c r="D17" s="23" t="inlineStr">
        <is>
          <t>Доля промо продаж</t>
        </is>
      </c>
      <c r="E17" s="23" t="inlineStr">
        <is>
          <t>PeriodValue</t>
        </is>
      </c>
      <c r="F17" s="23" t="inlineStr">
        <is>
          <t>percent</t>
        </is>
      </c>
      <c r="G17" s="23" t="inlineStr">
        <is>
          <t>%</t>
        </is>
      </c>
      <c r="H17" s="24" t="inlineStr">
        <is>
          <t>Yes</t>
        </is>
      </c>
      <c r="I17" s="24" t="inlineStr">
        <is>
          <t>Yes</t>
        </is>
      </c>
      <c r="J17" s="23" t="inlineStr">
        <is>
          <t>0</t>
        </is>
      </c>
      <c r="K17" s="24" t="inlineStr">
        <is>
          <t>Yes</t>
        </is>
      </c>
      <c r="L17" s="24" t="inlineStr">
        <is>
          <t>Yes</t>
        </is>
      </c>
      <c r="M17" s="23" t="inlineStr">
        <is>
          <t>No</t>
        </is>
      </c>
      <c r="N17" s="23" t="inlineStr">
        <is>
          <t>Predict/UI/Actual</t>
        </is>
      </c>
      <c r="O17" s="23" t="inlineStr"/>
      <c r="P17" s="23" t="inlineStr">
        <is>
          <t>SHELFPRICEPROMO,SHELFPRICEREG</t>
        </is>
      </c>
      <c r="Q17" s="23" t="inlineStr">
        <is>
          <t>Yes</t>
        </is>
      </c>
      <c r="R17" s="23" t="inlineStr">
        <is>
          <t>Web,Excel,API</t>
        </is>
      </c>
      <c r="S17" s="23" t="inlineStr">
        <is>
          <t>0&lt;=x&lt;=1</t>
        </is>
      </c>
      <c r="T17" s="23" t="inlineStr">
        <is>
          <t>Weighted price считается без ошибки</t>
        </is>
      </c>
      <c r="U17" s="23" t="inlineStr">
        <is>
          <t>MVP</t>
        </is>
      </c>
      <c r="V17" s="23" t="inlineStr">
        <is>
          <t>Persisted</t>
        </is>
      </c>
      <c r="W17" s="23" t="inlineStr">
        <is>
          <t>Hybrid priority applies</t>
        </is>
      </c>
    </row>
    <row r="18">
      <c r="B18" s="23" t="inlineStr">
        <is>
          <t>SHELFPRICEWEIGHTED</t>
        </is>
      </c>
      <c r="C18" s="23" t="inlineStr">
        <is>
          <t>Средневзвешенная полочная цена</t>
        </is>
      </c>
      <c r="D18" s="23" t="inlineStr">
        <is>
          <t>Цена mix regular/promo</t>
        </is>
      </c>
      <c r="E18" s="23" t="inlineStr">
        <is>
          <t>PeriodValue</t>
        </is>
      </c>
      <c r="F18" s="23" t="inlineStr">
        <is>
          <t>currency</t>
        </is>
      </c>
      <c r="G18" s="23" t="inlineStr">
        <is>
          <t>RUB</t>
        </is>
      </c>
      <c r="H18" s="24" t="inlineStr">
        <is>
          <t>Yes</t>
        </is>
      </c>
      <c r="I18" s="23" t="inlineStr">
        <is>
          <t>No</t>
        </is>
      </c>
      <c r="J18" s="23" t="inlineStr"/>
      <c r="K18" s="23" t="inlineStr">
        <is>
          <t>No</t>
        </is>
      </c>
      <c r="L18" s="23" t="inlineStr">
        <is>
          <t>No</t>
        </is>
      </c>
      <c r="M18" s="24" t="inlineStr">
        <is>
          <t>Yes</t>
        </is>
      </c>
      <c r="N18" s="23" t="inlineStr">
        <is>
          <t>Calculation engine</t>
        </is>
      </c>
      <c r="O18" s="25">
        <f>SHELFPRICEREG*(1-PROMOSHARE)+SHELFPRICEPROMO*PROMOSHARE</f>
        <v/>
      </c>
      <c r="P18" s="23" t="inlineStr">
        <is>
          <t>SHELFPRICEREG,PROMODISCOUNT,PROMOSHARE</t>
        </is>
      </c>
      <c r="Q18" s="23" t="inlineStr">
        <is>
          <t>Yes</t>
        </is>
      </c>
      <c r="R18" s="23" t="inlineStr">
        <is>
          <t>Web,Excel,API</t>
        </is>
      </c>
      <c r="S18" s="23" t="inlineStr">
        <is>
          <t>x&gt;=0</t>
        </is>
      </c>
      <c r="T18" s="23" t="inlineStr">
        <is>
          <t>EXFACTORYPRICE считается без ошибки</t>
        </is>
      </c>
      <c r="U18" s="23" t="inlineStr">
        <is>
          <t>MVP</t>
        </is>
      </c>
      <c r="V18" s="23" t="inlineStr">
        <is>
          <t>Calculated</t>
        </is>
      </c>
      <c r="W18" s="23" t="inlineStr">
        <is>
          <t>Price waterfall</t>
        </is>
      </c>
    </row>
    <row r="19">
      <c r="B19" s="23" t="inlineStr">
        <is>
          <t>EXFACTORYPRICE</t>
        </is>
      </c>
      <c r="C19" s="23" t="inlineStr">
        <is>
          <t>Net ex-factory price</t>
        </is>
      </c>
      <c r="D19" s="23" t="inlineStr">
        <is>
          <t>Чистая цена производителя</t>
        </is>
      </c>
      <c r="E19" s="23" t="inlineStr">
        <is>
          <t>PeriodValue</t>
        </is>
      </c>
      <c r="F19" s="23" t="inlineStr">
        <is>
          <t>currency</t>
        </is>
      </c>
      <c r="G19" s="23" t="inlineStr">
        <is>
          <t>RUB</t>
        </is>
      </c>
      <c r="H19" s="24" t="inlineStr">
        <is>
          <t>Yes</t>
        </is>
      </c>
      <c r="I19" s="23" t="inlineStr">
        <is>
          <t>No</t>
        </is>
      </c>
      <c r="J19" s="23" t="inlineStr"/>
      <c r="K19" s="23" t="inlineStr">
        <is>
          <t>No</t>
        </is>
      </c>
      <c r="L19" s="23" t="inlineStr">
        <is>
          <t>No</t>
        </is>
      </c>
      <c r="M19" s="24" t="inlineStr">
        <is>
          <t>Yes</t>
        </is>
      </c>
      <c r="N19" s="23" t="inlineStr">
        <is>
          <t>Calculation engine</t>
        </is>
      </c>
      <c r="O19" s="25">
        <f>SHELFPRICEWEIGHTED*(1-CHANNELMARGIN)/(1+VATRATE)</f>
        <v/>
      </c>
      <c r="P19" s="23" t="inlineStr">
        <is>
          <t>SHELFPRICEWEIGHTED,CHANNELMARGIN,VATRATE</t>
        </is>
      </c>
      <c r="Q19" s="23" t="inlineStr">
        <is>
          <t>Yes</t>
        </is>
      </c>
      <c r="R19" s="23" t="inlineStr">
        <is>
          <t>Web,PDF,PPT,Excel,API</t>
        </is>
      </c>
      <c r="S19" s="23" t="inlineStr">
        <is>
          <t>x&gt;=0</t>
        </is>
      </c>
      <c r="T19" s="23" t="inlineStr">
        <is>
          <t>NETREVENUE считается без ошибки</t>
        </is>
      </c>
      <c r="U19" s="23" t="inlineStr">
        <is>
          <t>MVP</t>
        </is>
      </c>
      <c r="V19" s="23" t="inlineStr">
        <is>
          <t>Calculated</t>
        </is>
      </c>
      <c r="W19" s="23" t="inlineStr">
        <is>
          <t>Price waterfall</t>
        </is>
      </c>
    </row>
    <row r="20">
      <c r="B20" s="23" t="inlineStr">
        <is>
          <t>NETREVENUE</t>
        </is>
      </c>
      <c r="C20" s="23" t="inlineStr">
        <is>
          <t>Чистая выручка</t>
        </is>
      </c>
      <c r="D20" s="23" t="inlineStr">
        <is>
          <t>Выручка net sales</t>
        </is>
      </c>
      <c r="E20" s="23" t="inlineStr">
        <is>
          <t>PeriodValue</t>
        </is>
      </c>
      <c r="F20" s="23" t="inlineStr">
        <is>
          <t>currency</t>
        </is>
      </c>
      <c r="G20" s="23" t="inlineStr">
        <is>
          <t>RUB</t>
        </is>
      </c>
      <c r="H20" s="24" t="inlineStr">
        <is>
          <t>Yes</t>
        </is>
      </c>
      <c r="I20" s="23" t="inlineStr">
        <is>
          <t>No</t>
        </is>
      </c>
      <c r="J20" s="23" t="inlineStr"/>
      <c r="K20" s="23" t="inlineStr">
        <is>
          <t>No</t>
        </is>
      </c>
      <c r="L20" s="23" t="inlineStr">
        <is>
          <t>No</t>
        </is>
      </c>
      <c r="M20" s="24" t="inlineStr">
        <is>
          <t>Yes</t>
        </is>
      </c>
      <c r="N20" s="23" t="inlineStr">
        <is>
          <t>Calculation engine</t>
        </is>
      </c>
      <c r="O20" s="25">
        <f>VOLUMEUNITS*EXFACTORYPRICE</f>
        <v/>
      </c>
      <c r="P20" s="23" t="inlineStr">
        <is>
          <t>VOLUMEUNITS,EXFACTORYPRICE</t>
        </is>
      </c>
      <c r="Q20" s="23" t="inlineStr">
        <is>
          <t>Yes</t>
        </is>
      </c>
      <c r="R20" s="23" t="inlineStr">
        <is>
          <t>Web,PDF,PPT,Excel,API</t>
        </is>
      </c>
      <c r="S20" s="23" t="inlineStr">
        <is>
          <t>x&gt;=0</t>
        </is>
      </c>
      <c r="T20" s="23" t="inlineStr">
        <is>
          <t>Gross profit считается без ошибки</t>
        </is>
      </c>
      <c r="U20" s="23" t="inlineStr">
        <is>
          <t>MVP</t>
        </is>
      </c>
      <c r="V20" s="23" t="inlineStr">
        <is>
          <t>Calculated</t>
        </is>
      </c>
      <c r="W20" s="23" t="inlineStr">
        <is>
          <t>Core KPI</t>
        </is>
      </c>
    </row>
    <row r="21">
      <c r="B21" s="23" t="inlineStr">
        <is>
          <t>COGSTOTAL</t>
        </is>
      </c>
      <c r="C21" s="23" t="inlineStr">
        <is>
          <t>Полный COGS</t>
        </is>
      </c>
      <c r="D21" s="23" t="inlineStr">
        <is>
          <t>Себестоимость total</t>
        </is>
      </c>
      <c r="E21" s="23" t="inlineStr">
        <is>
          <t>PeriodValue</t>
        </is>
      </c>
      <c r="F21" s="23" t="inlineStr">
        <is>
          <t>currency</t>
        </is>
      </c>
      <c r="G21" s="23" t="inlineStr">
        <is>
          <t>RUB</t>
        </is>
      </c>
      <c r="H21" s="24" t="inlineStr">
        <is>
          <t>Yes</t>
        </is>
      </c>
      <c r="I21" s="23" t="inlineStr">
        <is>
          <t>No</t>
        </is>
      </c>
      <c r="J21" s="23" t="inlineStr"/>
      <c r="K21" s="23" t="inlineStr">
        <is>
          <t>No</t>
        </is>
      </c>
      <c r="L21" s="23" t="inlineStr">
        <is>
          <t>No</t>
        </is>
      </c>
      <c r="M21" s="24" t="inlineStr">
        <is>
          <t>Yes</t>
        </is>
      </c>
      <c r="N21" s="23" t="inlineStr">
        <is>
          <t>Calculation engine</t>
        </is>
      </c>
      <c r="O21" s="25">
        <f>BOMCOST+PRODUCTIONCOST+COPAKERCOST</f>
        <v/>
      </c>
      <c r="P21" s="23" t="inlineStr">
        <is>
          <t>BOMCOST,PRODUCTIONCOST,COPAKERCOST</t>
        </is>
      </c>
      <c r="Q21" s="23" t="inlineStr">
        <is>
          <t>Yes</t>
        </is>
      </c>
      <c r="R21" s="23" t="inlineStr">
        <is>
          <t>Web,PDF,PPT,Excel,API</t>
        </is>
      </c>
      <c r="S21" s="23" t="inlineStr">
        <is>
          <t>x&gt;=0</t>
        </is>
      </c>
      <c r="T21" s="23" t="inlineStr">
        <is>
          <t>Gross profit считается без ошибки</t>
        </is>
      </c>
      <c r="U21" s="23" t="inlineStr">
        <is>
          <t>MVP</t>
        </is>
      </c>
      <c r="V21" s="23" t="inlineStr">
        <is>
          <t>Calculated</t>
        </is>
      </c>
      <c r="W21" s="23" t="inlineStr">
        <is>
          <t>Core KPI</t>
        </is>
      </c>
    </row>
    <row r="22">
      <c r="B22" s="23" t="inlineStr">
        <is>
          <t>CONTRIBUTION</t>
        </is>
      </c>
      <c r="C22" s="23" t="inlineStr">
        <is>
          <t>Contribution</t>
        </is>
      </c>
      <c r="D22" s="23" t="inlineStr">
        <is>
          <t>Маржинальный вклад</t>
        </is>
      </c>
      <c r="E22" s="23" t="inlineStr">
        <is>
          <t>Aggregate</t>
        </is>
      </c>
      <c r="F22" s="23" t="inlineStr">
        <is>
          <t>currency</t>
        </is>
      </c>
      <c r="G22" s="23" t="inlineStr">
        <is>
          <t>RUB</t>
        </is>
      </c>
      <c r="H22" s="24" t="inlineStr">
        <is>
          <t>Yes</t>
        </is>
      </c>
      <c r="I22" s="23" t="inlineStr">
        <is>
          <t>No</t>
        </is>
      </c>
      <c r="J22" s="23" t="inlineStr"/>
      <c r="K22" s="23" t="inlineStr">
        <is>
          <t>No</t>
        </is>
      </c>
      <c r="L22" s="23" t="inlineStr">
        <is>
          <t>No</t>
        </is>
      </c>
      <c r="M22" s="24" t="inlineStr">
        <is>
          <t>Yes</t>
        </is>
      </c>
      <c r="N22" s="23" t="inlineStr">
        <is>
          <t>Calculation engine</t>
        </is>
      </c>
      <c r="O22" s="25">
        <f>NETREVENUE-COGSTOTAL-LOGISTICSCOST-VARIABLEOPEX</f>
        <v/>
      </c>
      <c r="P22" s="23" t="inlineStr">
        <is>
          <t>NETREVENUE,COGSTOTAL,LOGISTICSCOST,VARIABLEOPEX</t>
        </is>
      </c>
      <c r="Q22" s="23" t="inlineStr">
        <is>
          <t>Yes</t>
        </is>
      </c>
      <c r="R22" s="23" t="inlineStr">
        <is>
          <t>Web,PDF,PPT,Excel,API</t>
        </is>
      </c>
      <c r="S22" s="23" t="inlineStr"/>
      <c r="T22" s="23" t="inlineStr">
        <is>
          <t>Contribution margin считается</t>
        </is>
      </c>
      <c r="U22" s="23" t="inlineStr">
        <is>
          <t>MVP</t>
        </is>
      </c>
      <c r="V22" s="23" t="inlineStr">
        <is>
          <t>Calculated</t>
        </is>
      </c>
      <c r="W22" s="23" t="inlineStr">
        <is>
          <t>Core KPI</t>
        </is>
      </c>
    </row>
    <row r="23">
      <c r="B23" s="23" t="inlineStr">
        <is>
          <t>EBITDA</t>
        </is>
      </c>
      <c r="C23" s="23" t="inlineStr">
        <is>
          <t>EBITDA</t>
        </is>
      </c>
      <c r="D23" s="23" t="inlineStr">
        <is>
          <t>EBITDA проекта/сценария</t>
        </is>
      </c>
      <c r="E23" s="23" t="inlineStr">
        <is>
          <t>Aggregate</t>
        </is>
      </c>
      <c r="F23" s="23" t="inlineStr">
        <is>
          <t>currency</t>
        </is>
      </c>
      <c r="G23" s="23" t="inlineStr">
        <is>
          <t>RUB</t>
        </is>
      </c>
      <c r="H23" s="24" t="inlineStr">
        <is>
          <t>Yes</t>
        </is>
      </c>
      <c r="I23" s="23" t="inlineStr">
        <is>
          <t>No</t>
        </is>
      </c>
      <c r="J23" s="23" t="inlineStr"/>
      <c r="K23" s="23" t="inlineStr">
        <is>
          <t>No</t>
        </is>
      </c>
      <c r="L23" s="23" t="inlineStr">
        <is>
          <t>No</t>
        </is>
      </c>
      <c r="M23" s="24" t="inlineStr">
        <is>
          <t>Yes</t>
        </is>
      </c>
      <c r="N23" s="23" t="inlineStr">
        <is>
          <t>Calculation engine</t>
        </is>
      </c>
      <c r="O23" s="25">
        <f>CONTRIBUTION-AMCPERCOST-MARKETINGCOST</f>
        <v/>
      </c>
      <c r="P23" s="23" t="inlineStr">
        <is>
          <t>CONTRIBUTION,AMCPERCOST,MARKETINGCOST</t>
        </is>
      </c>
      <c r="Q23" s="23" t="inlineStr">
        <is>
          <t>Yes</t>
        </is>
      </c>
      <c r="R23" s="23" t="inlineStr">
        <is>
          <t>Web,PDF,PPT,Excel,API</t>
        </is>
      </c>
      <c r="S23" s="23" t="inlineStr"/>
      <c r="T23" s="23" t="inlineStr">
        <is>
          <t>EBITDA margin считается</t>
        </is>
      </c>
      <c r="U23" s="23" t="inlineStr">
        <is>
          <t>MVP</t>
        </is>
      </c>
      <c r="V23" s="23" t="inlineStr">
        <is>
          <t>Calculated</t>
        </is>
      </c>
      <c r="W23" s="23" t="inlineStr">
        <is>
          <t>Core KPI</t>
        </is>
      </c>
    </row>
    <row r="24">
      <c r="B24" s="23" t="inlineStr">
        <is>
          <t>FREECASHFLOW</t>
        </is>
      </c>
      <c r="C24" s="23" t="inlineStr">
        <is>
          <t>Свободный денежный поток</t>
        </is>
      </c>
      <c r="D24" s="23" t="inlineStr">
        <is>
          <t>FCF по периоду</t>
        </is>
      </c>
      <c r="E24" s="23" t="inlineStr">
        <is>
          <t>Aggregate</t>
        </is>
      </c>
      <c r="F24" s="23" t="inlineStr">
        <is>
          <t>currency</t>
        </is>
      </c>
      <c r="G24" s="23" t="inlineStr">
        <is>
          <t>RUB</t>
        </is>
      </c>
      <c r="H24" s="24" t="inlineStr">
        <is>
          <t>Yes</t>
        </is>
      </c>
      <c r="I24" s="23" t="inlineStr">
        <is>
          <t>No</t>
        </is>
      </c>
      <c r="J24" s="23" t="inlineStr"/>
      <c r="K24" s="23" t="inlineStr">
        <is>
          <t>No</t>
        </is>
      </c>
      <c r="L24" s="23" t="inlineStr">
        <is>
          <t>No</t>
        </is>
      </c>
      <c r="M24" s="24" t="inlineStr">
        <is>
          <t>Yes</t>
        </is>
      </c>
      <c r="N24" s="23" t="inlineStr">
        <is>
          <t>Calculation engine</t>
        </is>
      </c>
      <c r="O24" s="25">
        <f>OPERATINGCASHFLOW+INVESTINGCASHFLOW</f>
        <v/>
      </c>
      <c r="P24" s="23" t="inlineStr">
        <is>
          <t>OPERATINGCASHFLOW,INVESTINGCASHFLOW</t>
        </is>
      </c>
      <c r="Q24" s="23" t="inlineStr">
        <is>
          <t>Yes</t>
        </is>
      </c>
      <c r="R24" s="23" t="inlineStr">
        <is>
          <t>Web,PDF,PPT,Excel,API</t>
        </is>
      </c>
      <c r="S24" s="23" t="inlineStr"/>
      <c r="T24" s="23" t="inlineStr">
        <is>
          <t>NPV/IRR считаются</t>
        </is>
      </c>
      <c r="U24" s="23" t="inlineStr">
        <is>
          <t>MVP</t>
        </is>
      </c>
      <c r="V24" s="23" t="inlineStr">
        <is>
          <t>Calculated</t>
        </is>
      </c>
      <c r="W24" s="23" t="inlineStr">
        <is>
          <t>Core KPI</t>
        </is>
      </c>
    </row>
    <row r="25">
      <c r="B25" s="23" t="inlineStr">
        <is>
          <t>NPV</t>
        </is>
      </c>
      <c r="C25" s="23" t="inlineStr">
        <is>
          <t>NPV</t>
        </is>
      </c>
      <c r="D25" s="23" t="inlineStr">
        <is>
          <t>NPV по сценарию и горизонту</t>
        </is>
      </c>
      <c r="E25" s="23" t="inlineStr">
        <is>
          <t>ScenarioResult</t>
        </is>
      </c>
      <c r="F25" s="23" t="inlineStr">
        <is>
          <t>currency</t>
        </is>
      </c>
      <c r="G25" s="23" t="inlineStr">
        <is>
          <t>RUB</t>
        </is>
      </c>
      <c r="H25" s="24" t="inlineStr">
        <is>
          <t>Yes</t>
        </is>
      </c>
      <c r="I25" s="23" t="inlineStr">
        <is>
          <t>No</t>
        </is>
      </c>
      <c r="J25" s="23" t="inlineStr"/>
      <c r="K25" s="23" t="inlineStr">
        <is>
          <t>No</t>
        </is>
      </c>
      <c r="L25" s="23" t="inlineStr">
        <is>
          <t>No</t>
        </is>
      </c>
      <c r="M25" s="24" t="inlineStr">
        <is>
          <t>Yes</t>
        </is>
      </c>
      <c r="N25" s="23" t="inlineStr">
        <is>
          <t>Calculation engine</t>
        </is>
      </c>
      <c r="O25" s="25">
        <f>NPV(DISCOUNTRATE,FREECASHFLOW range)</f>
        <v/>
      </c>
      <c r="P25" s="23" t="inlineStr">
        <is>
          <t>DISCOUNTRATE,FREECASHFLOW</t>
        </is>
      </c>
      <c r="Q25" s="23" t="inlineStr">
        <is>
          <t>Yes</t>
        </is>
      </c>
      <c r="R25" s="23" t="inlineStr">
        <is>
          <t>Web,PDF,PPT,Excel,API</t>
        </is>
      </c>
      <c r="S25" s="23" t="inlineStr"/>
      <c r="T25" s="23" t="inlineStr">
        <is>
          <t>Go/NoGo считается</t>
        </is>
      </c>
      <c r="U25" s="23" t="inlineStr">
        <is>
          <t>MVP</t>
        </is>
      </c>
      <c r="V25" s="23" t="inlineStr">
        <is>
          <t>Calculated</t>
        </is>
      </c>
      <c r="W25" s="23" t="inlineStr">
        <is>
          <t>Y1-Y3/Y1-Y5/Y1-Y10</t>
        </is>
      </c>
    </row>
    <row r="26">
      <c r="B26" s="23" t="inlineStr">
        <is>
          <t>IRR</t>
        </is>
      </c>
      <c r="C26" s="23" t="inlineStr">
        <is>
          <t>IRR</t>
        </is>
      </c>
      <c r="D26" s="23" t="inlineStr">
        <is>
          <t>IRR по сценарию</t>
        </is>
      </c>
      <c r="E26" s="23" t="inlineStr">
        <is>
          <t>ScenarioResult</t>
        </is>
      </c>
      <c r="F26" s="23" t="inlineStr">
        <is>
          <t>percent</t>
        </is>
      </c>
      <c r="G26" s="23" t="inlineStr">
        <is>
          <t>%</t>
        </is>
      </c>
      <c r="H26" s="24" t="inlineStr">
        <is>
          <t>Yes</t>
        </is>
      </c>
      <c r="I26" s="23" t="inlineStr">
        <is>
          <t>No</t>
        </is>
      </c>
      <c r="J26" s="23" t="inlineStr"/>
      <c r="K26" s="23" t="inlineStr">
        <is>
          <t>No</t>
        </is>
      </c>
      <c r="L26" s="23" t="inlineStr">
        <is>
          <t>No</t>
        </is>
      </c>
      <c r="M26" s="24" t="inlineStr">
        <is>
          <t>Yes</t>
        </is>
      </c>
      <c r="N26" s="23" t="inlineStr">
        <is>
          <t>Calculation engine</t>
        </is>
      </c>
      <c r="O26" s="25">
        <f>IRR(FREECASHFLOW range)</f>
        <v/>
      </c>
      <c r="P26" s="23" t="inlineStr">
        <is>
          <t>FREECASHFLOW</t>
        </is>
      </c>
      <c r="Q26" s="23" t="inlineStr">
        <is>
          <t>Yes</t>
        </is>
      </c>
      <c r="R26" s="23" t="inlineStr">
        <is>
          <t>Web,PDF,PPT,Excel,API</t>
        </is>
      </c>
      <c r="S26" s="23" t="inlineStr"/>
      <c r="T26" s="23" t="inlineStr">
        <is>
          <t>No formula errors</t>
        </is>
      </c>
      <c r="U26" s="23" t="inlineStr">
        <is>
          <t>MVP</t>
        </is>
      </c>
      <c r="V26" s="23" t="inlineStr">
        <is>
          <t>Calculated</t>
        </is>
      </c>
      <c r="W26" s="23" t="inlineStr">
        <is>
          <t>Scenario result</t>
        </is>
      </c>
    </row>
    <row r="27">
      <c r="B27" s="23" t="inlineStr">
        <is>
          <t>GONOGOFLAG</t>
        </is>
      </c>
      <c r="C27" s="23" t="inlineStr">
        <is>
          <t>Go/No-Go</t>
        </is>
      </c>
      <c r="D27" s="23" t="inlineStr">
        <is>
          <t>Флаг решения</t>
        </is>
      </c>
      <c r="E27" s="23" t="inlineStr">
        <is>
          <t>ScenarioResult</t>
        </is>
      </c>
      <c r="F27" s="23" t="inlineStr">
        <is>
          <t>enum</t>
        </is>
      </c>
      <c r="G27" s="23" t="inlineStr">
        <is>
          <t>RED/GREEN</t>
        </is>
      </c>
      <c r="H27" s="24" t="inlineStr">
        <is>
          <t>Yes</t>
        </is>
      </c>
      <c r="I27" s="23" t="inlineStr">
        <is>
          <t>No</t>
        </is>
      </c>
      <c r="J27" s="23" t="inlineStr"/>
      <c r="K27" s="23" t="inlineStr">
        <is>
          <t>No</t>
        </is>
      </c>
      <c r="L27" s="23" t="inlineStr">
        <is>
          <t>No</t>
        </is>
      </c>
      <c r="M27" s="24" t="inlineStr">
        <is>
          <t>Yes</t>
        </is>
      </c>
      <c r="N27" s="23" t="inlineStr">
        <is>
          <t>Rules engine</t>
        </is>
      </c>
      <c r="O27" s="25">
        <f>IF(NPV&gt;=0 and CONTRIBUTIONMARGIN&gt;=25%,"GREEN","RED")</f>
        <v/>
      </c>
      <c r="P27" s="23" t="inlineStr">
        <is>
          <t>NPV,CONTRIBUTIONMARGIN</t>
        </is>
      </c>
      <c r="Q27" s="23" t="inlineStr">
        <is>
          <t>Yes</t>
        </is>
      </c>
      <c r="R27" s="23" t="inlineStr">
        <is>
          <t>Web,PDF,PPT,Excel,API</t>
        </is>
      </c>
      <c r="S27" s="23" t="inlineStr">
        <is>
          <t>Value in {GREEN,RED}</t>
        </is>
      </c>
      <c r="T27" s="23" t="inlineStr">
        <is>
          <t>Флаг определяется однозначно</t>
        </is>
      </c>
      <c r="U27" s="23" t="inlineStr">
        <is>
          <t>MVP</t>
        </is>
      </c>
      <c r="V27" s="23" t="inlineStr">
        <is>
          <t>Calculated</t>
        </is>
      </c>
      <c r="W27" s="23" t="inlineStr">
        <is>
          <t>Decision rule</t>
        </is>
      </c>
    </row>
    <row r="28">
      <c r="B28" s="23" t="inlineStr">
        <is>
          <t>VALUESOURCETYPE</t>
        </is>
      </c>
      <c r="C28" s="23" t="inlineStr">
        <is>
          <t>Тип источника значения</t>
        </is>
      </c>
      <c r="D28" s="23" t="inlineStr">
        <is>
          <t>predict / finetuned / actual / scenarioadjusted</t>
        </is>
      </c>
      <c r="E28" s="23" t="inlineStr">
        <is>
          <t>PeriodValue</t>
        </is>
      </c>
      <c r="F28" s="23" t="inlineStr">
        <is>
          <t>enum</t>
        </is>
      </c>
      <c r="G28" s="23" t="inlineStr">
        <is>
          <t>code</t>
        </is>
      </c>
      <c r="H28" s="24" t="inlineStr">
        <is>
          <t>Yes</t>
        </is>
      </c>
      <c r="I28" s="23" t="inlineStr">
        <is>
          <t>No</t>
        </is>
      </c>
      <c r="J28" s="23" t="inlineStr">
        <is>
          <t>predict</t>
        </is>
      </c>
      <c r="K28" s="23" t="inlineStr">
        <is>
          <t>No</t>
        </is>
      </c>
      <c r="L28" s="23" t="inlineStr">
        <is>
          <t>No</t>
        </is>
      </c>
      <c r="M28" s="23" t="inlineStr">
        <is>
          <t>No</t>
        </is>
      </c>
      <c r="N28" s="23" t="inlineStr">
        <is>
          <t>System</t>
        </is>
      </c>
      <c r="O28" s="23" t="inlineStr"/>
      <c r="P28" s="23" t="inlineStr"/>
      <c r="Q28" s="23" t="inlineStr">
        <is>
          <t>No</t>
        </is>
      </c>
      <c r="R28" s="23" t="inlineStr">
        <is>
          <t>Web,Excel,API</t>
        </is>
      </c>
      <c r="S28" s="23" t="inlineStr">
        <is>
          <t>Value in allowed enum</t>
        </is>
      </c>
      <c r="T28" s="23" t="inlineStr">
        <is>
          <t>Hybrid mode работает однозначно</t>
        </is>
      </c>
      <c r="U28" s="23" t="inlineStr">
        <is>
          <t>MVP</t>
        </is>
      </c>
      <c r="V28" s="23" t="inlineStr">
        <is>
          <t>Persisted</t>
        </is>
      </c>
      <c r="W28" s="23" t="inlineStr">
        <is>
          <t>Audit field</t>
        </is>
      </c>
    </row>
    <row r="29">
      <c r="B29" s="23" t="inlineStr">
        <is>
          <t>VALUEVERSIONID</t>
        </is>
      </c>
      <c r="C29" s="23" t="inlineStr">
        <is>
          <t>Версия значения</t>
        </is>
      </c>
      <c r="D29" s="23" t="inlineStr">
        <is>
          <t>Версия override/значения</t>
        </is>
      </c>
      <c r="E29" s="23" t="inlineStr">
        <is>
          <t>PeriodValue</t>
        </is>
      </c>
      <c r="F29" s="23" t="inlineStr">
        <is>
          <t>integer</t>
        </is>
      </c>
      <c r="G29" s="23" t="inlineStr">
        <is>
          <t>id</t>
        </is>
      </c>
      <c r="H29" s="24" t="inlineStr">
        <is>
          <t>Yes</t>
        </is>
      </c>
      <c r="I29" s="23" t="inlineStr">
        <is>
          <t>No</t>
        </is>
      </c>
      <c r="J29" s="23" t="inlineStr">
        <is>
          <t>1</t>
        </is>
      </c>
      <c r="K29" s="23" t="inlineStr">
        <is>
          <t>No</t>
        </is>
      </c>
      <c r="L29" s="23" t="inlineStr">
        <is>
          <t>No</t>
        </is>
      </c>
      <c r="M29" s="23" t="inlineStr">
        <is>
          <t>No</t>
        </is>
      </c>
      <c r="N29" s="23" t="inlineStr">
        <is>
          <t>System</t>
        </is>
      </c>
      <c r="O29" s="23" t="inlineStr"/>
      <c r="P29" s="23" t="inlineStr"/>
      <c r="Q29" s="23" t="inlineStr">
        <is>
          <t>No</t>
        </is>
      </c>
      <c r="R29" s="23" t="inlineStr">
        <is>
          <t>Excel,API</t>
        </is>
      </c>
      <c r="S29" s="23" t="inlineStr">
        <is>
          <t>x&gt;=1</t>
        </is>
      </c>
      <c r="T29" s="23" t="inlineStr">
        <is>
          <t>Версионирование не ломается</t>
        </is>
      </c>
      <c r="U29" s="23" t="inlineStr">
        <is>
          <t>MVP</t>
        </is>
      </c>
      <c r="V29" s="23" t="inlineStr">
        <is>
          <t>Persisted</t>
        </is>
      </c>
      <c r="W29" s="23" t="inlineStr">
        <is>
          <t>Audit field</t>
        </is>
      </c>
    </row>
    <row r="30">
      <c r="B30" s="23" t="inlineStr">
        <is>
          <t>VALUEISOVERRIDDEN</t>
        </is>
      </c>
      <c r="C30" s="23" t="inlineStr">
        <is>
          <t>Флаг ручного override</t>
        </is>
      </c>
      <c r="D30" s="23" t="inlineStr">
        <is>
          <t>Признак finetuned-изменения</t>
        </is>
      </c>
      <c r="E30" s="23" t="inlineStr">
        <is>
          <t>PeriodValue</t>
        </is>
      </c>
      <c r="F30" s="23" t="inlineStr">
        <is>
          <t>boolean</t>
        </is>
      </c>
      <c r="G30" s="23" t="inlineStr">
        <is>
          <t>0/1</t>
        </is>
      </c>
      <c r="H30" s="24" t="inlineStr">
        <is>
          <t>Yes</t>
        </is>
      </c>
      <c r="I30" s="23" t="inlineStr">
        <is>
          <t>No</t>
        </is>
      </c>
      <c r="J30" s="23" t="inlineStr">
        <is>
          <t>0</t>
        </is>
      </c>
      <c r="K30" s="23" t="inlineStr">
        <is>
          <t>No</t>
        </is>
      </c>
      <c r="L30" s="23" t="inlineStr">
        <is>
          <t>No</t>
        </is>
      </c>
      <c r="M30" s="23" t="inlineStr">
        <is>
          <t>No</t>
        </is>
      </c>
      <c r="N30" s="23" t="inlineStr">
        <is>
          <t>System</t>
        </is>
      </c>
      <c r="O30" s="23" t="inlineStr"/>
      <c r="P30" s="23" t="inlineStr"/>
      <c r="Q30" s="23" t="inlineStr">
        <is>
          <t>No</t>
        </is>
      </c>
      <c r="R30" s="23" t="inlineStr">
        <is>
          <t>Excel,API</t>
        </is>
      </c>
      <c r="S30" s="23" t="inlineStr">
        <is>
          <t>Value in {0,1}</t>
        </is>
      </c>
      <c r="T30" s="23" t="inlineStr">
        <is>
          <t>Reset to model работает</t>
        </is>
      </c>
      <c r="U30" s="23" t="inlineStr">
        <is>
          <t>MVP</t>
        </is>
      </c>
      <c r="V30" s="23" t="inlineStr">
        <is>
          <t>Persisted</t>
        </is>
      </c>
      <c r="W30" s="23" t="inlineStr">
        <is>
          <t>Audit field</t>
        </is>
      </c>
    </row>
    <row r="31">
      <c r="B31" s="23" t="inlineStr">
        <is>
          <t>HYBRIDVIEWVALUE</t>
        </is>
      </c>
      <c r="C31" s="23" t="inlineStr">
        <is>
          <t>Значение для hybrid view</t>
        </is>
      </c>
      <c r="D31" s="23" t="inlineStr">
        <is>
          <t>Показывает actual если есть, иначе finetuned/predict</t>
        </is>
      </c>
      <c r="E31" s="23" t="inlineStr">
        <is>
          <t>ViewModel</t>
        </is>
      </c>
      <c r="F31" s="23" t="inlineStr">
        <is>
          <t>decimal</t>
        </is>
      </c>
      <c r="G31" s="23" t="inlineStr">
        <is>
          <t>depends</t>
        </is>
      </c>
      <c r="H31" s="24" t="inlineStr">
        <is>
          <t>Yes</t>
        </is>
      </c>
      <c r="I31" s="23" t="inlineStr">
        <is>
          <t>No</t>
        </is>
      </c>
      <c r="J31" s="23" t="inlineStr"/>
      <c r="K31" s="23" t="inlineStr">
        <is>
          <t>No</t>
        </is>
      </c>
      <c r="L31" s="23" t="inlineStr">
        <is>
          <t>No</t>
        </is>
      </c>
      <c r="M31" s="24" t="inlineStr">
        <is>
          <t>Yes</t>
        </is>
      </c>
      <c r="N31" s="23" t="inlineStr">
        <is>
          <t>View model</t>
        </is>
      </c>
      <c r="O31" s="25">
        <f>priority(actual,finetuned,predict)</f>
        <v/>
      </c>
      <c r="P31" s="23" t="inlineStr">
        <is>
          <t>VALUESOURCETYPE,actual,finetuned,predict</t>
        </is>
      </c>
      <c r="Q31" s="23" t="inlineStr">
        <is>
          <t>Yes</t>
        </is>
      </c>
      <c r="R31" s="23" t="inlineStr">
        <is>
          <t>Web,Excel,API</t>
        </is>
      </c>
      <c r="S31" s="23" t="inlineStr"/>
      <c r="T31" s="23" t="inlineStr">
        <is>
          <t>Гибридное отображение однозначно</t>
        </is>
      </c>
      <c r="U31" s="23" t="inlineStr">
        <is>
          <t>MVP</t>
        </is>
      </c>
      <c r="V31" s="23" t="inlineStr">
        <is>
          <t>Calculated</t>
        </is>
      </c>
      <c r="W31" s="23" t="inlineStr">
        <is>
          <t>View-only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16" min="2" max="2"/>
    <col width="24" customWidth="1" style="16" min="3" max="3"/>
    <col width="24" customWidth="1" style="16" min="4" max="4"/>
    <col width="24" customWidth="1" style="16" min="5" max="5"/>
    <col width="36" customWidth="1" style="16" min="6" max="6"/>
    <col width="20" customWidth="1" style="16" min="7" max="7"/>
    <col width="24" customWidth="1" style="16" min="8" max="8"/>
    <col width="28" customWidth="1" style="16" min="9" max="9"/>
  </cols>
  <sheetData>
    <row r="2">
      <c r="B2" s="22" t="inlineStr">
        <is>
          <t>STEP_NO</t>
        </is>
      </c>
      <c r="C2" s="22" t="inlineStr">
        <is>
          <t>STEP_NAME</t>
        </is>
      </c>
      <c r="D2" s="22" t="inlineStr">
        <is>
          <t>OUTPUT_FIELD</t>
        </is>
      </c>
      <c r="E2" s="22" t="inlineStr">
        <is>
          <t>LEVEL</t>
        </is>
      </c>
      <c r="F2" s="22" t="inlineStr">
        <is>
          <t>FORMULA_TEXT</t>
        </is>
      </c>
      <c r="G2" s="22" t="inlineStr">
        <is>
          <t>INPUT_FIELDS</t>
        </is>
      </c>
      <c r="H2" s="22" t="inlineStr">
        <is>
          <t>RUN_AFTER_STEP</t>
        </is>
      </c>
      <c r="I2" s="22" t="inlineStr">
        <is>
          <t>NOTES</t>
        </is>
      </c>
    </row>
    <row r="3">
      <c r="B3" s="23" t="n">
        <v>1</v>
      </c>
      <c r="C3" s="23" t="inlineStr">
        <is>
          <t>Load master data</t>
        </is>
      </c>
      <c r="D3" s="23" t="inlineStr">
        <is>
          <t>Master data tables</t>
        </is>
      </c>
      <c r="E3" s="23" t="inlineStr">
        <is>
          <t>System</t>
        </is>
      </c>
      <c r="F3" s="23" t="inlineStr">
        <is>
          <t>N/A</t>
        </is>
      </c>
      <c r="G3" s="23" t="inlineStr">
        <is>
          <t>SKU,BOM,Channels,Inflation,Seasonality,Benchmarks</t>
        </is>
      </c>
      <c r="H3" s="23" t="inlineStr">
        <is>
          <t>-</t>
        </is>
      </c>
      <c r="I3" s="23" t="inlineStr">
        <is>
          <t>Initial load</t>
        </is>
      </c>
    </row>
    <row r="4">
      <c r="B4" s="23" t="n">
        <v>2</v>
      </c>
      <c r="C4" s="23" t="inlineStr">
        <is>
          <t>Load project assumptions</t>
        </is>
      </c>
      <c r="D4" s="23" t="inlineStr">
        <is>
          <t>Project fields</t>
        </is>
      </c>
      <c r="E4" s="23" t="inlineStr">
        <is>
          <t>Project</t>
        </is>
      </c>
      <c r="F4" s="23" t="inlineStr">
        <is>
          <t>N/A</t>
        </is>
      </c>
      <c r="G4" s="23" t="inlineStr">
        <is>
          <t>DISCOUNTRATE,TAXRATE,INFLATIONPROFILE,PROJECTSTARTDATE,PROJECTHORIZONY</t>
        </is>
      </c>
      <c r="H4" s="23" t="n">
        <v>1</v>
      </c>
      <c r="I4" s="23" t="inlineStr">
        <is>
          <t>Project-level only</t>
        </is>
      </c>
    </row>
    <row r="5">
      <c r="B5" s="23" t="n">
        <v>3</v>
      </c>
      <c r="C5" s="23" t="inlineStr">
        <is>
          <t>Apply predict values</t>
        </is>
      </c>
      <c r="D5" s="23" t="inlineStr">
        <is>
          <t>PeriodValue inputs</t>
        </is>
      </c>
      <c r="E5" s="23" t="inlineStr">
        <is>
          <t>PeriodValue</t>
        </is>
      </c>
      <c r="F5" s="23" t="inlineStr">
        <is>
          <t>N/A</t>
        </is>
      </c>
      <c r="G5" s="23" t="inlineStr">
        <is>
          <t>NDPLAN,OFFTAKEPLAN,SHELFPRICEREG,PROMODISCOUNT,PROMOSHARE,OPEX,CAPEX</t>
        </is>
      </c>
      <c r="H5" s="23" t="n">
        <v>2</v>
      </c>
      <c r="I5" s="23" t="inlineStr">
        <is>
          <t>Set VALUESOURCETYPE=predict</t>
        </is>
      </c>
    </row>
    <row r="6">
      <c r="B6" s="23" t="n">
        <v>4</v>
      </c>
      <c r="C6" s="23" t="inlineStr">
        <is>
          <t>Apply finetuned overrides</t>
        </is>
      </c>
      <c r="D6" s="23" t="inlineStr">
        <is>
          <t>PeriodValue inputs</t>
        </is>
      </c>
      <c r="E6" s="23" t="inlineStr">
        <is>
          <t>PeriodValue</t>
        </is>
      </c>
      <c r="F6" s="23" t="inlineStr">
        <is>
          <t>N/A</t>
        </is>
      </c>
      <c r="G6" s="23" t="inlineStr">
        <is>
          <t>Manual UI values</t>
        </is>
      </c>
      <c r="H6" s="23" t="n">
        <v>3</v>
      </c>
      <c r="I6" s="23" t="inlineStr">
        <is>
          <t>Set VALUESOURCETYPE=finetuned; VALUEISOVERRIDDEN=true</t>
        </is>
      </c>
    </row>
    <row r="7">
      <c r="B7" s="23" t="n">
        <v>5</v>
      </c>
      <c r="C7" s="23" t="inlineStr">
        <is>
          <t>Import actuals</t>
        </is>
      </c>
      <c r="D7" s="23" t="inlineStr">
        <is>
          <t>PeriodValue inputs</t>
        </is>
      </c>
      <c r="E7" s="23" t="inlineStr">
        <is>
          <t>PeriodValue</t>
        </is>
      </c>
      <c r="F7" s="23" t="inlineStr">
        <is>
          <t>N/A</t>
        </is>
      </c>
      <c r="G7" s="23" t="inlineStr">
        <is>
          <t>Actual import batch</t>
        </is>
      </c>
      <c r="H7" s="23" t="n">
        <v>4</v>
      </c>
      <c r="I7" s="23" t="inlineStr">
        <is>
          <t>Actual has higher priority in hybrid</t>
        </is>
      </c>
    </row>
    <row r="8">
      <c r="B8" s="23" t="n">
        <v>6</v>
      </c>
      <c r="C8" s="23" t="inlineStr">
        <is>
          <t>Resolve hybrid priority</t>
        </is>
      </c>
      <c r="D8" s="23" t="inlineStr">
        <is>
          <t>HYBRIDVIEWVALUE</t>
        </is>
      </c>
      <c r="E8" s="23" t="inlineStr">
        <is>
          <t>ViewModel</t>
        </is>
      </c>
      <c r="F8" s="23" t="inlineStr">
        <is>
          <t>priority(actual, finetuned, predict)</t>
        </is>
      </c>
      <c r="G8" s="23" t="inlineStr">
        <is>
          <t>actual,finetuned,predict</t>
        </is>
      </c>
      <c r="H8" s="23" t="n">
        <v>5</v>
      </c>
      <c r="I8" s="23" t="inlineStr">
        <is>
          <t>Used in UI and compare views</t>
        </is>
      </c>
    </row>
    <row r="9">
      <c r="B9" s="23" t="n">
        <v>7</v>
      </c>
      <c r="C9" s="23" t="inlineStr">
        <is>
          <t>Seasonality lookup</t>
        </is>
      </c>
      <c r="D9" s="23" t="inlineStr">
        <is>
          <t>SEASONALITYCOEFF</t>
        </is>
      </c>
      <c r="E9" s="23" t="inlineStr">
        <is>
          <t>PeriodValue</t>
        </is>
      </c>
      <c r="F9" s="23" t="inlineStr">
        <is>
          <t>lookup(profile,month)</t>
        </is>
      </c>
      <c r="G9" s="23" t="inlineStr">
        <is>
          <t>SEASONALITYPROFILE,Period</t>
        </is>
      </c>
      <c r="H9" s="23" t="n">
        <v>6</v>
      </c>
      <c r="I9" s="23" t="inlineStr">
        <is>
          <t>Default 1 for Y4-Y10 unless specified</t>
        </is>
      </c>
    </row>
    <row r="10">
      <c r="B10" s="23" t="n">
        <v>8</v>
      </c>
      <c r="C10" s="23" t="inlineStr">
        <is>
          <t>Compute volumes</t>
        </is>
      </c>
      <c r="D10" s="23" t="inlineStr">
        <is>
          <t>VOLUMEUNITS / VOLUMELITERS</t>
        </is>
      </c>
      <c r="E10" s="23" t="inlineStr">
        <is>
          <t>PeriodValue</t>
        </is>
      </c>
      <c r="F10" s="23">
        <f>ACTIVEOUTLETS*OFFTAKEPLAN*SEASONALITYCOEFF; =VOLUMEUNITS*NETCONTENTCOEFF</f>
        <v/>
      </c>
      <c r="G10" s="23" t="inlineStr">
        <is>
          <t>ACTIVEOUTLETS,OFFTAKEPLAN,SEASONALITYCOEFF,NETCONTENTCOEFF</t>
        </is>
      </c>
      <c r="H10" s="23" t="n">
        <v>7</v>
      </c>
      <c r="I10" s="23" t="inlineStr">
        <is>
          <t>Core driver step</t>
        </is>
      </c>
    </row>
    <row r="11">
      <c r="B11" s="23" t="n">
        <v>9</v>
      </c>
      <c r="C11" s="23" t="inlineStr">
        <is>
          <t>Compute price waterfall</t>
        </is>
      </c>
      <c r="D11" s="23" t="inlineStr">
        <is>
          <t>SHELFPRICEPROMO / SHELFPRICEWEIGHTED / EXFACTORYPRICE</t>
        </is>
      </c>
      <c r="E11" s="23" t="inlineStr">
        <is>
          <t>PeriodValue</t>
        </is>
      </c>
      <c r="F11" s="23">
        <f>SHELFPRICEREG*(1-PROMODISCOUNT); weighted mix; ex-factory formula</f>
        <v/>
      </c>
      <c r="G11" s="23" t="inlineStr">
        <is>
          <t>SHELFPRICEREG,PROMODISCOUNT,PROMOSHARE,CHANNELMARGIN,VATRATE</t>
        </is>
      </c>
      <c r="H11" s="23" t="n">
        <v>8</v>
      </c>
      <c r="I11" s="23" t="inlineStr">
        <is>
          <t>Price stage</t>
        </is>
      </c>
    </row>
    <row r="12">
      <c r="B12" s="23" t="n">
        <v>10</v>
      </c>
      <c r="C12" s="23" t="inlineStr">
        <is>
          <t>Compute revenue</t>
        </is>
      </c>
      <c r="D12" s="23" t="inlineStr">
        <is>
          <t>NETREVENUE</t>
        </is>
      </c>
      <c r="E12" s="23" t="inlineStr">
        <is>
          <t>PeriodValue</t>
        </is>
      </c>
      <c r="F12" s="23">
        <f>VOLUMEUNITS*EXFACTORYPRICE</f>
        <v/>
      </c>
      <c r="G12" s="23" t="inlineStr">
        <is>
          <t>VOLUMEUNITS,EXFACTORYPRICE</t>
        </is>
      </c>
      <c r="H12" s="23" t="n">
        <v>9</v>
      </c>
      <c r="I12" s="23" t="inlineStr">
        <is>
          <t>Revenue stage</t>
        </is>
      </c>
    </row>
    <row r="13">
      <c r="B13" s="23" t="n">
        <v>11</v>
      </c>
      <c r="C13" s="23" t="inlineStr">
        <is>
          <t>Compute COGS</t>
        </is>
      </c>
      <c r="D13" s="23" t="inlineStr">
        <is>
          <t>COGSTOTAL</t>
        </is>
      </c>
      <c r="E13" s="23" t="inlineStr">
        <is>
          <t>PeriodValue</t>
        </is>
      </c>
      <c r="F13" s="23">
        <f>BOMCOST+PRODUCTIONCOST+COPAKERCOST</f>
        <v/>
      </c>
      <c r="G13" s="23" t="inlineStr">
        <is>
          <t>BOMCOSTPERUNIT,PRODUCTIONCOSTPERUNIT,COPAKERCOSTPERUNIT,VOLUMEUNITS</t>
        </is>
      </c>
      <c r="H13" s="23" t="n">
        <v>10</v>
      </c>
      <c r="I13" s="23" t="inlineStr">
        <is>
          <t>Cost stage</t>
        </is>
      </c>
    </row>
    <row r="14">
      <c r="B14" s="23" t="n">
        <v>12</v>
      </c>
      <c r="C14" s="23" t="inlineStr">
        <is>
          <t>Compute variable opex</t>
        </is>
      </c>
      <c r="D14" s="23" t="inlineStr">
        <is>
          <t>VARIABLEOPEX</t>
        </is>
      </c>
      <c r="E14" s="23" t="inlineStr">
        <is>
          <t>PeriodValue</t>
        </is>
      </c>
      <c r="F14" s="23">
        <f>TRADEMARKETING+CONSUMERMARKETING+SALESEXPENSES</f>
        <v/>
      </c>
      <c r="G14" s="23" t="inlineStr">
        <is>
          <t>TRADEMARKETING,CONSUMERMARKETING,SALESEXPENSES</t>
        </is>
      </c>
      <c r="H14" s="23" t="n">
        <v>11</v>
      </c>
      <c r="I14" s="23" t="inlineStr">
        <is>
          <t>OPEX stage</t>
        </is>
      </c>
    </row>
    <row r="15">
      <c r="B15" s="23" t="n">
        <v>13</v>
      </c>
      <c r="C15" s="23" t="inlineStr">
        <is>
          <t>Compute contribution</t>
        </is>
      </c>
      <c r="D15" s="23" t="inlineStr">
        <is>
          <t>CONTRIBUTION / CONTRIBUTIONMARGIN</t>
        </is>
      </c>
      <c r="E15" s="23" t="inlineStr">
        <is>
          <t>Aggregate</t>
        </is>
      </c>
      <c r="F15" s="23">
        <f>NETREVENUE-COGSTOTAL-LOGISTICSCOST-VARIABLEOPEX</f>
        <v/>
      </c>
      <c r="G15" s="23" t="inlineStr">
        <is>
          <t>NETREVENUE,COGSTOTAL,LOGISTICSCOST,VARIABLEOPEX</t>
        </is>
      </c>
      <c r="H15" s="23" t="n">
        <v>12</v>
      </c>
      <c r="I15" s="23" t="inlineStr">
        <is>
          <t>Margin stage</t>
        </is>
      </c>
    </row>
    <row r="16">
      <c r="B16" s="23" t="n">
        <v>14</v>
      </c>
      <c r="C16" s="23" t="inlineStr">
        <is>
          <t>Compute EBITDA</t>
        </is>
      </c>
      <c r="D16" s="23" t="inlineStr">
        <is>
          <t>EBITDA / EBITDAMARGIN</t>
        </is>
      </c>
      <c r="E16" s="23" t="inlineStr">
        <is>
          <t>Aggregate</t>
        </is>
      </c>
      <c r="F16" s="23">
        <f>CONTRIBUTION-AMCPERCOST-MARKETINGCOST</f>
        <v/>
      </c>
      <c r="G16" s="23" t="inlineStr">
        <is>
          <t>CONTRIBUTION,AMCPERCOST,MARKETINGCOST</t>
        </is>
      </c>
      <c r="H16" s="23" t="n">
        <v>13</v>
      </c>
      <c r="I16" s="23" t="inlineStr">
        <is>
          <t>Profitability stage</t>
        </is>
      </c>
    </row>
    <row r="17">
      <c r="B17" s="23" t="n">
        <v>15</v>
      </c>
      <c r="C17" s="23" t="inlineStr">
        <is>
          <t>Compute cash flow</t>
        </is>
      </c>
      <c r="D17" s="23" t="inlineStr">
        <is>
          <t>OPERATINGCASHFLOW / INVESTINGCASHFLOW / FREECASHFLOW</t>
        </is>
      </c>
      <c r="E17" s="23" t="inlineStr">
        <is>
          <t>Aggregate</t>
        </is>
      </c>
      <c r="F17" s="23" t="inlineStr">
        <is>
          <t>Per approved model</t>
        </is>
      </c>
      <c r="G17" s="23" t="inlineStr">
        <is>
          <t>CONTRIBUTION,PROFITTAX,CAPEXTOTAL</t>
        </is>
      </c>
      <c r="H17" s="23" t="n">
        <v>14</v>
      </c>
      <c r="I17" s="23" t="inlineStr">
        <is>
          <t>Cash flow stage</t>
        </is>
      </c>
    </row>
    <row r="18">
      <c r="B18" s="23" t="n">
        <v>16</v>
      </c>
      <c r="C18" s="23" t="inlineStr">
        <is>
          <t>Apply scenario deltas</t>
        </is>
      </c>
      <c r="D18" s="23" t="inlineStr">
        <is>
          <t>scenarioadjusted values</t>
        </is>
      </c>
      <c r="E18" s="23" t="inlineStr">
        <is>
          <t>Scenario/PeriodValue</t>
        </is>
      </c>
      <c r="F18" s="23" t="inlineStr">
        <is>
          <t>base*(1+delta)</t>
        </is>
      </c>
      <c r="G18" s="23" t="inlineStr">
        <is>
          <t>SCENARIODELTAND,SCENARIODELTAOFFTAKE,SCENARIODELTAOPEX</t>
        </is>
      </c>
      <c r="H18" s="23" t="n">
        <v>15</v>
      </c>
      <c r="I18" s="23" t="inlineStr">
        <is>
          <t>Conservative/Aggressive derived from Base</t>
        </is>
      </c>
    </row>
    <row r="19">
      <c r="B19" s="23" t="n">
        <v>17</v>
      </c>
      <c r="C19" s="23" t="inlineStr">
        <is>
          <t>Compute scenario KPIs</t>
        </is>
      </c>
      <c r="D19" s="23" t="inlineStr">
        <is>
          <t>NPV / IRR / ROI / PAYBACK / GONOGOFLAG</t>
        </is>
      </c>
      <c r="E19" s="23" t="inlineStr">
        <is>
          <t>ScenarioResult</t>
        </is>
      </c>
      <c r="F19" s="23" t="inlineStr">
        <is>
          <t>Per approved model</t>
        </is>
      </c>
      <c r="G19" s="23" t="inlineStr">
        <is>
          <t>FREECASHFLOW,DISCOUNTRATE,CONTRIBUTIONMARGIN</t>
        </is>
      </c>
      <c r="H19" s="23" t="n">
        <v>16</v>
      </c>
      <c r="I19" s="23" t="inlineStr">
        <is>
          <t>Final scenario results</t>
        </is>
      </c>
    </row>
    <row r="20">
      <c r="B20" s="23" t="n">
        <v>18</v>
      </c>
      <c r="C20" s="23" t="inlineStr">
        <is>
          <t>Export mapping</t>
        </is>
      </c>
      <c r="D20" s="23" t="inlineStr">
        <is>
          <t>Output datasets</t>
        </is>
      </c>
      <c r="E20" s="23" t="inlineStr">
        <is>
          <t>Export</t>
        </is>
      </c>
      <c r="F20" s="23" t="inlineStr">
        <is>
          <t>N/A</t>
        </is>
      </c>
      <c r="G20" s="23" t="inlineStr">
        <is>
          <t>ScenarioResult + selected details</t>
        </is>
      </c>
      <c r="H20" s="23" t="n">
        <v>17</v>
      </c>
      <c r="I20" s="23" t="inlineStr">
        <is>
          <t>Feeds PDF/PPT/Excel/API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16" min="2" max="2"/>
    <col width="24" customWidth="1" style="16" min="3" max="3"/>
    <col width="24" customWidth="1" style="16" min="4" max="4"/>
    <col width="24" customWidth="1" style="16" min="5" max="5"/>
    <col width="24" customWidth="1" style="16" min="6" max="6"/>
    <col width="34" customWidth="1" style="16" min="7" max="7"/>
    <col width="24" customWidth="1" style="16" min="8" max="8"/>
    <col width="28" customWidth="1" style="16" min="9" max="9"/>
    <col width="24" customWidth="1" style="16" min="10" max="10"/>
  </cols>
  <sheetData>
    <row r="2">
      <c r="B2" s="22" t="inlineStr">
        <is>
          <t>FIELD_CODE</t>
        </is>
      </c>
      <c r="C2" s="22" t="inlineStr">
        <is>
          <t>ALLOW_PREDICT</t>
        </is>
      </c>
      <c r="D2" s="22" t="inlineStr">
        <is>
          <t>ALLOW_FINETUNED</t>
        </is>
      </c>
      <c r="E2" s="22" t="inlineStr">
        <is>
          <t>ALLOW_ACTUAL</t>
        </is>
      </c>
      <c r="F2" s="22" t="inlineStr">
        <is>
          <t>ALLOW_SCENARIOADJUSTED</t>
        </is>
      </c>
      <c r="G2" s="22" t="inlineStr">
        <is>
          <t>HYBRID_PRIORITY</t>
        </is>
      </c>
      <c r="H2" s="22" t="inlineStr">
        <is>
          <t>RESET_BEHAVIOR</t>
        </is>
      </c>
      <c r="I2" s="22" t="inlineStr">
        <is>
          <t>VERSIONING_RULE</t>
        </is>
      </c>
      <c r="J2" s="22" t="inlineStr">
        <is>
          <t>NOTES</t>
        </is>
      </c>
    </row>
    <row r="3">
      <c r="B3" s="23" t="inlineStr">
        <is>
          <t>NDPLAN</t>
        </is>
      </c>
      <c r="C3" s="23" t="inlineStr">
        <is>
          <t>Yes</t>
        </is>
      </c>
      <c r="D3" s="23" t="inlineStr">
        <is>
          <t>Yes</t>
        </is>
      </c>
      <c r="E3" s="23" t="inlineStr">
        <is>
          <t>Yes</t>
        </is>
      </c>
      <c r="F3" s="23" t="inlineStr">
        <is>
          <t>Yes</t>
        </is>
      </c>
      <c r="G3" s="23" t="inlineStr">
        <is>
          <t>actual &gt; finetuned &gt; predict</t>
        </is>
      </c>
      <c r="H3" s="23" t="inlineStr">
        <is>
          <t>Reset to highest available non-finetuned source</t>
        </is>
      </c>
      <c r="I3" s="23" t="inlineStr">
        <is>
          <t>Increment VALUEVERSIONID on manual edit</t>
        </is>
      </c>
      <c r="J3" s="23" t="inlineStr">
        <is>
          <t>Scenario delta may derive scenarioadjusted</t>
        </is>
      </c>
    </row>
    <row r="4">
      <c r="B4" s="23" t="inlineStr">
        <is>
          <t>OFFTAKEPLAN</t>
        </is>
      </c>
      <c r="C4" s="23" t="inlineStr">
        <is>
          <t>Yes</t>
        </is>
      </c>
      <c r="D4" s="23" t="inlineStr">
        <is>
          <t>Yes</t>
        </is>
      </c>
      <c r="E4" s="23" t="inlineStr">
        <is>
          <t>Yes</t>
        </is>
      </c>
      <c r="F4" s="23" t="inlineStr">
        <is>
          <t>Yes</t>
        </is>
      </c>
      <c r="G4" s="23" t="inlineStr">
        <is>
          <t>actual &gt; finetuned &gt; predict</t>
        </is>
      </c>
      <c r="H4" s="23" t="inlineStr">
        <is>
          <t>Reset to highest available non-finetuned source</t>
        </is>
      </c>
      <c r="I4" s="23" t="inlineStr">
        <is>
          <t>Increment VALUEVERSIONID on manual edit</t>
        </is>
      </c>
      <c r="J4" s="23" t="inlineStr">
        <is>
          <t>Scenario delta may derive scenarioadjusted</t>
        </is>
      </c>
    </row>
    <row r="5">
      <c r="B5" s="23" t="inlineStr">
        <is>
          <t>SHELFPRICEREG</t>
        </is>
      </c>
      <c r="C5" s="23" t="inlineStr">
        <is>
          <t>Yes</t>
        </is>
      </c>
      <c r="D5" s="23" t="inlineStr">
        <is>
          <t>Yes</t>
        </is>
      </c>
      <c r="E5" s="23" t="inlineStr">
        <is>
          <t>Yes</t>
        </is>
      </c>
      <c r="F5" s="23" t="inlineStr">
        <is>
          <t>Yes</t>
        </is>
      </c>
      <c r="G5" s="23" t="inlineStr">
        <is>
          <t>actual &gt; finetuned &gt; predict</t>
        </is>
      </c>
      <c r="H5" s="23" t="inlineStr">
        <is>
          <t>Reset to highest available non-finetuned source</t>
        </is>
      </c>
      <c r="I5" s="23" t="inlineStr">
        <is>
          <t>Increment VALUEVERSIONID on manual edit</t>
        </is>
      </c>
      <c r="J5" s="23" t="inlineStr">
        <is>
          <t>Price inputs can be overridden</t>
        </is>
      </c>
    </row>
    <row r="6">
      <c r="B6" s="23" t="inlineStr">
        <is>
          <t>PROMODISCOUNT</t>
        </is>
      </c>
      <c r="C6" s="23" t="inlineStr">
        <is>
          <t>Yes</t>
        </is>
      </c>
      <c r="D6" s="23" t="inlineStr">
        <is>
          <t>Yes</t>
        </is>
      </c>
      <c r="E6" s="23" t="inlineStr">
        <is>
          <t>Yes</t>
        </is>
      </c>
      <c r="F6" s="23" t="inlineStr">
        <is>
          <t>Yes</t>
        </is>
      </c>
      <c r="G6" s="23" t="inlineStr">
        <is>
          <t>actual &gt; finetuned &gt; predict</t>
        </is>
      </c>
      <c r="H6" s="23" t="inlineStr">
        <is>
          <t>Reset to highest available non-finetuned source</t>
        </is>
      </c>
      <c r="I6" s="23" t="inlineStr">
        <is>
          <t>Increment VALUEVERSIONID on manual edit</t>
        </is>
      </c>
      <c r="J6" s="23" t="inlineStr">
        <is>
          <t>Promo logic</t>
        </is>
      </c>
    </row>
    <row r="7">
      <c r="B7" s="23" t="inlineStr">
        <is>
          <t>PROMOSHARE</t>
        </is>
      </c>
      <c r="C7" s="23" t="inlineStr">
        <is>
          <t>Yes</t>
        </is>
      </c>
      <c r="D7" s="23" t="inlineStr">
        <is>
          <t>Yes</t>
        </is>
      </c>
      <c r="E7" s="23" t="inlineStr">
        <is>
          <t>Yes</t>
        </is>
      </c>
      <c r="F7" s="23" t="inlineStr">
        <is>
          <t>Yes</t>
        </is>
      </c>
      <c r="G7" s="23" t="inlineStr">
        <is>
          <t>actual &gt; finetuned &gt; predict</t>
        </is>
      </c>
      <c r="H7" s="23" t="inlineStr">
        <is>
          <t>Reset to highest available non-finetuned source</t>
        </is>
      </c>
      <c r="I7" s="23" t="inlineStr">
        <is>
          <t>Increment VALUEVERSIONID on manual edit</t>
        </is>
      </c>
      <c r="J7" s="23" t="inlineStr">
        <is>
          <t>Promo logic</t>
        </is>
      </c>
    </row>
    <row r="8">
      <c r="B8" s="23" t="inlineStr">
        <is>
          <t>TRADEMARKETING</t>
        </is>
      </c>
      <c r="C8" s="23" t="inlineStr">
        <is>
          <t>Yes</t>
        </is>
      </c>
      <c r="D8" s="23" t="inlineStr">
        <is>
          <t>Yes</t>
        </is>
      </c>
      <c r="E8" s="23" t="inlineStr">
        <is>
          <t>Yes</t>
        </is>
      </c>
      <c r="F8" s="23" t="inlineStr">
        <is>
          <t>Yes</t>
        </is>
      </c>
      <c r="G8" s="23" t="inlineStr">
        <is>
          <t>actual &gt; finetuned &gt; predict</t>
        </is>
      </c>
      <c r="H8" s="23" t="inlineStr">
        <is>
          <t>Reset to highest available non-finetuned source</t>
        </is>
      </c>
      <c r="I8" s="23" t="inlineStr">
        <is>
          <t>Increment VALUEVERSIONID on manual edit</t>
        </is>
      </c>
      <c r="J8" s="23" t="inlineStr">
        <is>
          <t>Scenario OPEX delta applicable</t>
        </is>
      </c>
    </row>
    <row r="9">
      <c r="B9" s="23" t="inlineStr">
        <is>
          <t>CONSUMERMARKETING</t>
        </is>
      </c>
      <c r="C9" s="23" t="inlineStr">
        <is>
          <t>Yes</t>
        </is>
      </c>
      <c r="D9" s="23" t="inlineStr">
        <is>
          <t>Yes</t>
        </is>
      </c>
      <c r="E9" s="23" t="inlineStr">
        <is>
          <t>Yes</t>
        </is>
      </c>
      <c r="F9" s="23" t="inlineStr">
        <is>
          <t>Yes</t>
        </is>
      </c>
      <c r="G9" s="23" t="inlineStr">
        <is>
          <t>actual &gt; finetuned &gt; predict</t>
        </is>
      </c>
      <c r="H9" s="23" t="inlineStr">
        <is>
          <t>Reset to highest available non-finetuned source</t>
        </is>
      </c>
      <c r="I9" s="23" t="inlineStr">
        <is>
          <t>Increment VALUEVERSIONID on manual edit</t>
        </is>
      </c>
      <c r="J9" s="23" t="inlineStr">
        <is>
          <t>Scenario OPEX delta applicable</t>
        </is>
      </c>
    </row>
    <row r="10">
      <c r="B10" s="23" t="inlineStr">
        <is>
          <t>SALESEXPENSES</t>
        </is>
      </c>
      <c r="C10" s="23" t="inlineStr">
        <is>
          <t>Yes</t>
        </is>
      </c>
      <c r="D10" s="23" t="inlineStr">
        <is>
          <t>Yes</t>
        </is>
      </c>
      <c r="E10" s="23" t="inlineStr">
        <is>
          <t>Yes</t>
        </is>
      </c>
      <c r="F10" s="23" t="inlineStr">
        <is>
          <t>Yes</t>
        </is>
      </c>
      <c r="G10" s="23" t="inlineStr">
        <is>
          <t>actual &gt; finetuned &gt; predict</t>
        </is>
      </c>
      <c r="H10" s="23" t="inlineStr">
        <is>
          <t>Reset to highest available non-finetuned source</t>
        </is>
      </c>
      <c r="I10" s="23" t="inlineStr">
        <is>
          <t>Increment VALUEVERSIONID on manual edit</t>
        </is>
      </c>
      <c r="J10" s="23" t="inlineStr">
        <is>
          <t>Scenario OPEX delta applicable</t>
        </is>
      </c>
    </row>
    <row r="11">
      <c r="B11" s="23" t="inlineStr">
        <is>
          <t>CAPEXTOTAL</t>
        </is>
      </c>
      <c r="C11" s="23" t="inlineStr">
        <is>
          <t>Yes</t>
        </is>
      </c>
      <c r="D11" s="23" t="inlineStr">
        <is>
          <t>Yes</t>
        </is>
      </c>
      <c r="E11" s="23" t="inlineStr">
        <is>
          <t>Yes</t>
        </is>
      </c>
      <c r="F11" s="23" t="inlineStr">
        <is>
          <t>No</t>
        </is>
      </c>
      <c r="G11" s="23" t="inlineStr">
        <is>
          <t>actual &gt; finetuned &gt; predict</t>
        </is>
      </c>
      <c r="H11" s="23" t="inlineStr">
        <is>
          <t>Reset to highest available non-finetuned source</t>
        </is>
      </c>
      <c r="I11" s="23" t="inlineStr">
        <is>
          <t>Increment VALUEVERSIONID on manual edit</t>
        </is>
      </c>
      <c r="J11" s="23" t="inlineStr">
        <is>
          <t>Scenario delta not in MVP</t>
        </is>
      </c>
    </row>
    <row r="12">
      <c r="B12" s="23" t="inlineStr">
        <is>
          <t>ACTIVEOUTLETS</t>
        </is>
      </c>
      <c r="C12" s="23" t="inlineStr">
        <is>
          <t>Yes</t>
        </is>
      </c>
      <c r="D12" s="23" t="inlineStr">
        <is>
          <t>Yes</t>
        </is>
      </c>
      <c r="E12" s="23" t="inlineStr">
        <is>
          <t>Yes</t>
        </is>
      </c>
      <c r="F12" s="23" t="inlineStr">
        <is>
          <t>No</t>
        </is>
      </c>
      <c r="G12" s="23" t="inlineStr">
        <is>
          <t>actual &gt; finetuned &gt; predict</t>
        </is>
      </c>
      <c r="H12" s="23" t="inlineStr">
        <is>
          <t>Reset to highest available non-finetuned source</t>
        </is>
      </c>
      <c r="I12" s="23" t="inlineStr">
        <is>
          <t>Increment VALUEVERSIONID on manual edit</t>
        </is>
      </c>
      <c r="J12" s="23" t="inlineStr">
        <is>
          <t>Check if UI-editable in MVP</t>
        </is>
      </c>
    </row>
    <row r="13">
      <c r="B13" s="23" t="inlineStr">
        <is>
          <t>VALUESOURCETYPE</t>
        </is>
      </c>
      <c r="C13" s="23" t="inlineStr">
        <is>
          <t>System</t>
        </is>
      </c>
      <c r="D13" s="23" t="inlineStr">
        <is>
          <t>System</t>
        </is>
      </c>
      <c r="E13" s="23" t="inlineStr">
        <is>
          <t>System</t>
        </is>
      </c>
      <c r="F13" s="23" t="inlineStr">
        <is>
          <t>System</t>
        </is>
      </c>
      <c r="G13" s="23" t="inlineStr">
        <is>
          <t>System-managed</t>
        </is>
      </c>
      <c r="H13" s="23" t="inlineStr">
        <is>
          <t>No manual reset</t>
        </is>
      </c>
      <c r="I13" s="23" t="inlineStr">
        <is>
          <t>System-managed</t>
        </is>
      </c>
      <c r="J13" s="23" t="inlineStr">
        <is>
          <t>Audit field only</t>
        </is>
      </c>
    </row>
    <row r="14">
      <c r="B14" s="23" t="inlineStr">
        <is>
          <t>VALUEVERSIONID</t>
        </is>
      </c>
      <c r="C14" s="23" t="inlineStr">
        <is>
          <t>System</t>
        </is>
      </c>
      <c r="D14" s="23" t="inlineStr">
        <is>
          <t>System</t>
        </is>
      </c>
      <c r="E14" s="23" t="inlineStr">
        <is>
          <t>System</t>
        </is>
      </c>
      <c r="F14" s="23" t="inlineStr">
        <is>
          <t>System</t>
        </is>
      </c>
      <c r="G14" s="23" t="inlineStr">
        <is>
          <t>System-managed</t>
        </is>
      </c>
      <c r="H14" s="23" t="inlineStr">
        <is>
          <t>No manual reset</t>
        </is>
      </c>
      <c r="I14" s="23" t="inlineStr">
        <is>
          <t>Auto increment on manual edit</t>
        </is>
      </c>
      <c r="J14" s="23" t="inlineStr">
        <is>
          <t>Audit field only</t>
        </is>
      </c>
    </row>
    <row r="15">
      <c r="B15" s="23" t="inlineStr">
        <is>
          <t>VALUEISOVERRIDDEN</t>
        </is>
      </c>
      <c r="C15" s="23" t="inlineStr">
        <is>
          <t>System</t>
        </is>
      </c>
      <c r="D15" s="23" t="inlineStr">
        <is>
          <t>System</t>
        </is>
      </c>
      <c r="E15" s="23" t="inlineStr">
        <is>
          <t>System</t>
        </is>
      </c>
      <c r="F15" s="23" t="inlineStr">
        <is>
          <t>System</t>
        </is>
      </c>
      <c r="G15" s="23" t="inlineStr">
        <is>
          <t>System-managed</t>
        </is>
      </c>
      <c r="H15" s="23" t="inlineStr">
        <is>
          <t>Set false on reset</t>
        </is>
      </c>
      <c r="I15" s="23" t="inlineStr">
        <is>
          <t>Toggle with finetuned state</t>
        </is>
      </c>
      <c r="J15" s="23" t="inlineStr">
        <is>
          <t>Audit field 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16" min="2" max="2"/>
    <col width="24" customWidth="1" style="16" min="3" max="3"/>
    <col width="28" customWidth="1" style="16" min="4" max="4"/>
    <col width="18" customWidth="1" style="16" min="5" max="5"/>
    <col width="22" customWidth="1" style="16" min="6" max="6"/>
    <col width="26" customWidth="1" style="16" min="7" max="7"/>
  </cols>
  <sheetData>
    <row r="2">
      <c r="B2" s="22" t="inlineStr">
        <is>
          <t>FIELD_CODE</t>
        </is>
      </c>
      <c r="C2" s="22" t="inlineStr">
        <is>
          <t>EXPORT_TARGET</t>
        </is>
      </c>
      <c r="D2" s="22" t="inlineStr">
        <is>
          <t>SECTION_BLOCK</t>
        </is>
      </c>
      <c r="E2" s="22" t="inlineStr">
        <is>
          <t>REQUIRED_IN_MVP</t>
        </is>
      </c>
      <c r="F2" s="22" t="inlineStr">
        <is>
          <t>GRANULARITY</t>
        </is>
      </c>
      <c r="G2" s="22" t="inlineStr">
        <is>
          <t>NOTES</t>
        </is>
      </c>
    </row>
    <row r="3">
      <c r="B3" s="23" t="inlineStr">
        <is>
          <t>NPV</t>
        </is>
      </c>
      <c r="C3" s="23" t="inlineStr">
        <is>
          <t>Web</t>
        </is>
      </c>
      <c r="D3" s="23" t="inlineStr">
        <is>
          <t>Scenario KPI cards</t>
        </is>
      </c>
      <c r="E3" s="23" t="inlineStr">
        <is>
          <t>Yes</t>
        </is>
      </c>
      <c r="F3" s="23" t="inlineStr">
        <is>
          <t>Scenario</t>
        </is>
      </c>
      <c r="G3" s="23" t="inlineStr">
        <is>
          <t>Show Y1-Y3 / Y1-Y5 / Y1-Y10</t>
        </is>
      </c>
    </row>
    <row r="4">
      <c r="B4" s="23" t="inlineStr">
        <is>
          <t>IRR</t>
        </is>
      </c>
      <c r="C4" s="23" t="inlineStr">
        <is>
          <t>Web</t>
        </is>
      </c>
      <c r="D4" s="23" t="inlineStr">
        <is>
          <t>Scenario KPI cards</t>
        </is>
      </c>
      <c r="E4" s="23" t="inlineStr">
        <is>
          <t>Yes</t>
        </is>
      </c>
      <c r="F4" s="23" t="inlineStr">
        <is>
          <t>Scenario</t>
        </is>
      </c>
      <c r="G4" s="23" t="inlineStr"/>
    </row>
    <row r="5">
      <c r="B5" s="23" t="inlineStr">
        <is>
          <t>ROI</t>
        </is>
      </c>
      <c r="C5" s="23" t="inlineStr">
        <is>
          <t>Web</t>
        </is>
      </c>
      <c r="D5" s="23" t="inlineStr">
        <is>
          <t>Scenario KPI cards</t>
        </is>
      </c>
      <c r="E5" s="23" t="inlineStr">
        <is>
          <t>Yes</t>
        </is>
      </c>
      <c r="F5" s="23" t="inlineStr">
        <is>
          <t>Scenario</t>
        </is>
      </c>
      <c r="G5" s="23" t="inlineStr"/>
    </row>
    <row r="6">
      <c r="B6" s="23" t="inlineStr">
        <is>
          <t>PAYBACK</t>
        </is>
      </c>
      <c r="C6" s="23" t="inlineStr">
        <is>
          <t>Web</t>
        </is>
      </c>
      <c r="D6" s="23" t="inlineStr">
        <is>
          <t>Scenario KPI cards</t>
        </is>
      </c>
      <c r="E6" s="23" t="inlineStr">
        <is>
          <t>Yes</t>
        </is>
      </c>
      <c r="F6" s="23" t="inlineStr">
        <is>
          <t>Scenario</t>
        </is>
      </c>
      <c r="G6" s="23" t="inlineStr"/>
    </row>
    <row r="7">
      <c r="B7" s="23" t="inlineStr">
        <is>
          <t>GONOGOFLAG</t>
        </is>
      </c>
      <c r="C7" s="23" t="inlineStr">
        <is>
          <t>Web</t>
        </is>
      </c>
      <c r="D7" s="23" t="inlineStr">
        <is>
          <t>Decision block</t>
        </is>
      </c>
      <c r="E7" s="23" t="inlineStr">
        <is>
          <t>Yes</t>
        </is>
      </c>
      <c r="F7" s="23" t="inlineStr">
        <is>
          <t>Scenario</t>
        </is>
      </c>
      <c r="G7" s="23" t="inlineStr"/>
    </row>
    <row r="8">
      <c r="B8" s="23" t="inlineStr">
        <is>
          <t>NETREVENUE</t>
        </is>
      </c>
      <c r="C8" s="23" t="inlineStr">
        <is>
          <t>PDF</t>
        </is>
      </c>
      <c r="D8" s="23" t="inlineStr">
        <is>
          <t>Executive summary / P&amp;L</t>
        </is>
      </c>
      <c r="E8" s="23" t="inlineStr">
        <is>
          <t>Yes</t>
        </is>
      </c>
      <c r="F8" s="23" t="inlineStr">
        <is>
          <t>Project + SKU</t>
        </is>
      </c>
      <c r="G8" s="23" t="inlineStr"/>
    </row>
    <row r="9">
      <c r="B9" s="23" t="inlineStr">
        <is>
          <t>CONTRIBUTION</t>
        </is>
      </c>
      <c r="C9" s="23" t="inlineStr">
        <is>
          <t>PDF</t>
        </is>
      </c>
      <c r="D9" s="23" t="inlineStr">
        <is>
          <t>Executive summary / P&amp;L</t>
        </is>
      </c>
      <c r="E9" s="23" t="inlineStr">
        <is>
          <t>Yes</t>
        </is>
      </c>
      <c r="F9" s="23" t="inlineStr">
        <is>
          <t>Project + SKU</t>
        </is>
      </c>
      <c r="G9" s="23" t="inlineStr"/>
    </row>
    <row r="10">
      <c r="B10" s="23" t="inlineStr">
        <is>
          <t>EBITDA</t>
        </is>
      </c>
      <c r="C10" s="23" t="inlineStr">
        <is>
          <t>PDF</t>
        </is>
      </c>
      <c r="D10" s="23" t="inlineStr">
        <is>
          <t>Executive summary / P&amp;L</t>
        </is>
      </c>
      <c r="E10" s="23" t="inlineStr">
        <is>
          <t>Yes</t>
        </is>
      </c>
      <c r="F10" s="23" t="inlineStr">
        <is>
          <t>Project + Scenario</t>
        </is>
      </c>
      <c r="G10" s="23" t="inlineStr"/>
    </row>
    <row r="11">
      <c r="B11" s="23" t="inlineStr">
        <is>
          <t>NPV</t>
        </is>
      </c>
      <c r="C11" s="23" t="inlineStr">
        <is>
          <t>PDF</t>
        </is>
      </c>
      <c r="D11" s="23" t="inlineStr">
        <is>
          <t>Executive summary</t>
        </is>
      </c>
      <c r="E11" s="23" t="inlineStr">
        <is>
          <t>Yes</t>
        </is>
      </c>
      <c r="F11" s="23" t="inlineStr">
        <is>
          <t>Scenario</t>
        </is>
      </c>
      <c r="G11" s="23" t="inlineStr"/>
    </row>
    <row r="12">
      <c r="B12" s="23" t="inlineStr">
        <is>
          <t>VOLUMEUNITS</t>
        </is>
      </c>
      <c r="C12" s="23" t="inlineStr">
        <is>
          <t>PDF</t>
        </is>
      </c>
      <c r="D12" s="23" t="inlineStr">
        <is>
          <t>Sales section</t>
        </is>
      </c>
      <c r="E12" s="23" t="inlineStr">
        <is>
          <t>Yes</t>
        </is>
      </c>
      <c r="F12" s="23" t="inlineStr">
        <is>
          <t>SKU + Channel</t>
        </is>
      </c>
      <c r="G12" s="23" t="inlineStr"/>
    </row>
    <row r="13">
      <c r="B13" s="23" t="inlineStr">
        <is>
          <t>COGSTOTAL</t>
        </is>
      </c>
      <c r="C13" s="23" t="inlineStr">
        <is>
          <t>PDF</t>
        </is>
      </c>
      <c r="D13" s="23" t="inlineStr">
        <is>
          <t>Value chain / cost section</t>
        </is>
      </c>
      <c r="E13" s="23" t="inlineStr">
        <is>
          <t>Yes</t>
        </is>
      </c>
      <c r="F13" s="23" t="inlineStr">
        <is>
          <t>SKU + Project</t>
        </is>
      </c>
      <c r="G13" s="23" t="inlineStr"/>
    </row>
    <row r="14">
      <c r="B14" s="23" t="inlineStr">
        <is>
          <t>CAPEXTOTAL</t>
        </is>
      </c>
      <c r="C14" s="23" t="inlineStr">
        <is>
          <t>PDF</t>
        </is>
      </c>
      <c r="D14" s="23" t="inlineStr">
        <is>
          <t>CAPEX section</t>
        </is>
      </c>
      <c r="E14" s="23" t="inlineStr">
        <is>
          <t>Yes</t>
        </is>
      </c>
      <c r="F14" s="23" t="inlineStr">
        <is>
          <t>Project</t>
        </is>
      </c>
      <c r="G14" s="23" t="inlineStr"/>
    </row>
    <row r="15">
      <c r="B15" s="23" t="inlineStr">
        <is>
          <t>NDPLAN</t>
        </is>
      </c>
      <c r="C15" s="23" t="inlineStr">
        <is>
          <t>PPT</t>
        </is>
      </c>
      <c r="D15" s="23" t="inlineStr">
        <is>
          <t>Assumptions / drivers</t>
        </is>
      </c>
      <c r="E15" s="23" t="inlineStr">
        <is>
          <t>Yes</t>
        </is>
      </c>
      <c r="F15" s="23" t="inlineStr">
        <is>
          <t>SKU + Channel</t>
        </is>
      </c>
      <c r="G15" s="23" t="inlineStr"/>
    </row>
    <row r="16">
      <c r="B16" s="23" t="inlineStr">
        <is>
          <t>OFFTAKEPLAN</t>
        </is>
      </c>
      <c r="C16" s="23" t="inlineStr">
        <is>
          <t>PPT</t>
        </is>
      </c>
      <c r="D16" s="23" t="inlineStr">
        <is>
          <t>Assumptions / drivers</t>
        </is>
      </c>
      <c r="E16" s="23" t="inlineStr">
        <is>
          <t>Yes</t>
        </is>
      </c>
      <c r="F16" s="23" t="inlineStr">
        <is>
          <t>SKU + Channel</t>
        </is>
      </c>
      <c r="G16" s="23" t="inlineStr"/>
    </row>
    <row r="17">
      <c r="B17" s="23" t="inlineStr">
        <is>
          <t>EBITDA</t>
        </is>
      </c>
      <c r="C17" s="23" t="inlineStr">
        <is>
          <t>PPT</t>
        </is>
      </c>
      <c r="D17" s="23" t="inlineStr">
        <is>
          <t>KPI slide</t>
        </is>
      </c>
      <c r="E17" s="23" t="inlineStr">
        <is>
          <t>Yes</t>
        </is>
      </c>
      <c r="F17" s="23" t="inlineStr">
        <is>
          <t>Scenario</t>
        </is>
      </c>
      <c r="G17" s="23" t="inlineStr"/>
    </row>
    <row r="18">
      <c r="B18" s="23" t="inlineStr">
        <is>
          <t>NPV</t>
        </is>
      </c>
      <c r="C18" s="23" t="inlineStr">
        <is>
          <t>PPT</t>
        </is>
      </c>
      <c r="D18" s="23" t="inlineStr">
        <is>
          <t>KPI slide</t>
        </is>
      </c>
      <c r="E18" s="23" t="inlineStr">
        <is>
          <t>Yes</t>
        </is>
      </c>
      <c r="F18" s="23" t="inlineStr">
        <is>
          <t>Scenario</t>
        </is>
      </c>
      <c r="G18" s="23" t="inlineStr"/>
    </row>
    <row r="19">
      <c r="B19" s="23" t="inlineStr">
        <is>
          <t>GONOGOFLAG</t>
        </is>
      </c>
      <c r="C19" s="23" t="inlineStr">
        <is>
          <t>PPT</t>
        </is>
      </c>
      <c r="D19" s="23" t="inlineStr">
        <is>
          <t>Decision slide</t>
        </is>
      </c>
      <c r="E19" s="23" t="inlineStr">
        <is>
          <t>Yes</t>
        </is>
      </c>
      <c r="F19" s="23" t="inlineStr">
        <is>
          <t>Scenario</t>
        </is>
      </c>
      <c r="G19" s="23" t="inlineStr"/>
    </row>
    <row r="20">
      <c r="B20" s="23" t="inlineStr">
        <is>
          <t>NETREVENUE</t>
        </is>
      </c>
      <c r="C20" s="23" t="inlineStr">
        <is>
          <t>Excel</t>
        </is>
      </c>
      <c r="D20" s="23" t="inlineStr">
        <is>
          <t>P&amp;L / sales sheets</t>
        </is>
      </c>
      <c r="E20" s="23" t="inlineStr">
        <is>
          <t>Yes</t>
        </is>
      </c>
      <c r="F20" s="23" t="inlineStr">
        <is>
          <t>Period + SKU + Channel</t>
        </is>
      </c>
      <c r="G20" s="23" t="inlineStr"/>
    </row>
    <row r="21">
      <c r="B21" s="23" t="inlineStr">
        <is>
          <t>COGSTOTAL</t>
        </is>
      </c>
      <c r="C21" s="23" t="inlineStr">
        <is>
          <t>Excel</t>
        </is>
      </c>
      <c r="D21" s="23" t="inlineStr">
        <is>
          <t>Cost sheet</t>
        </is>
      </c>
      <c r="E21" s="23" t="inlineStr">
        <is>
          <t>Yes</t>
        </is>
      </c>
      <c r="F21" s="23" t="inlineStr">
        <is>
          <t>Period + SKU</t>
        </is>
      </c>
      <c r="G21" s="23" t="inlineStr"/>
    </row>
    <row r="22">
      <c r="B22" s="23" t="inlineStr">
        <is>
          <t>BOMCOSTPERUNIT</t>
        </is>
      </c>
      <c r="C22" s="23" t="inlineStr">
        <is>
          <t>Excel</t>
        </is>
      </c>
      <c r="D22" s="23" t="inlineStr">
        <is>
          <t>BOM sheet</t>
        </is>
      </c>
      <c r="E22" s="23" t="inlineStr">
        <is>
          <t>Yes</t>
        </is>
      </c>
      <c r="F22" s="23" t="inlineStr">
        <is>
          <t>SKU</t>
        </is>
      </c>
      <c r="G22" s="23" t="inlineStr"/>
    </row>
    <row r="23">
      <c r="B23" s="23" t="inlineStr">
        <is>
          <t>VALUESOURCETYPE</t>
        </is>
      </c>
      <c r="C23" s="23" t="inlineStr">
        <is>
          <t>Excel</t>
        </is>
      </c>
      <c r="D23" s="23" t="inlineStr">
        <is>
          <t>Audit/support sheet</t>
        </is>
      </c>
      <c r="E23" s="23" t="inlineStr">
        <is>
          <t>Yes</t>
        </is>
      </c>
      <c r="F23" s="23" t="inlineStr">
        <is>
          <t>PeriodValue</t>
        </is>
      </c>
      <c r="G23" s="23" t="inlineStr"/>
    </row>
    <row r="24">
      <c r="B24" s="23" t="inlineStr">
        <is>
          <t>VALUEVERSIONID</t>
        </is>
      </c>
      <c r="C24" s="23" t="inlineStr">
        <is>
          <t>Excel</t>
        </is>
      </c>
      <c r="D24" s="23" t="inlineStr">
        <is>
          <t>Audit/support sheet</t>
        </is>
      </c>
      <c r="E24" s="23" t="inlineStr">
        <is>
          <t>Yes</t>
        </is>
      </c>
      <c r="F24" s="23" t="inlineStr">
        <is>
          <t>PeriodValue</t>
        </is>
      </c>
      <c r="G24" s="23" t="inlineStr"/>
    </row>
    <row r="25">
      <c r="B25" s="23" t="inlineStr">
        <is>
          <t>VALUEISOVERRIDDEN</t>
        </is>
      </c>
      <c r="C25" s="23" t="inlineStr">
        <is>
          <t>Excel</t>
        </is>
      </c>
      <c r="D25" s="23" t="inlineStr">
        <is>
          <t>Audit/support sheet</t>
        </is>
      </c>
      <c r="E25" s="23" t="inlineStr">
        <is>
          <t>Yes</t>
        </is>
      </c>
      <c r="F25" s="23" t="inlineStr">
        <is>
          <t>PeriodValue</t>
        </is>
      </c>
      <c r="G25" s="23" t="inlineStr"/>
    </row>
    <row r="26">
      <c r="B26" s="23" t="inlineStr">
        <is>
          <t>NPV</t>
        </is>
      </c>
      <c r="C26" s="23" t="inlineStr">
        <is>
          <t>API</t>
        </is>
      </c>
      <c r="D26" s="23" t="inlineStr">
        <is>
          <t>/getkpi /getscenarios</t>
        </is>
      </c>
      <c r="E26" s="23" t="inlineStr">
        <is>
          <t>Yes</t>
        </is>
      </c>
      <c r="F26" s="23" t="inlineStr">
        <is>
          <t>Scenario</t>
        </is>
      </c>
      <c r="G26" s="23" t="inlineStr"/>
    </row>
    <row r="27">
      <c r="B27" s="23" t="inlineStr">
        <is>
          <t>HYBRIDVIEWVALUE</t>
        </is>
      </c>
      <c r="C27" s="23" t="inlineStr">
        <is>
          <t>API</t>
        </is>
      </c>
      <c r="D27" s="23" t="inlineStr">
        <is>
          <t>/compare /view model</t>
        </is>
      </c>
      <c r="E27" s="23" t="inlineStr">
        <is>
          <t>Yes</t>
        </is>
      </c>
      <c r="F27" s="23" t="inlineStr">
        <is>
          <t>PeriodValue</t>
        </is>
      </c>
      <c r="G27" s="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1"/>
  <sheetViews>
    <sheetView tabSelected="1" zoomScale="70" zoomScaleNormal="70" workbookViewId="0">
      <pane ySplit="2" topLeftCell="A84" activePane="bottomLeft" state="frozen"/>
      <selection pane="bottomLeft" activeCell="A91" sqref="A91"/>
    </sheetView>
  </sheetViews>
  <sheetFormatPr baseColWidth="8" defaultRowHeight="15"/>
  <cols>
    <col width="26.140625" customWidth="1" style="16" min="1" max="1"/>
    <col width="34" customWidth="1" style="16" min="2" max="2"/>
    <col width="12" customWidth="1" style="16" min="3" max="3"/>
    <col width="18" customWidth="1" style="16" min="4" max="4"/>
    <col width="22" customWidth="1" style="16" min="5" max="5"/>
    <col width="18" customWidth="1" style="16" min="6" max="6"/>
    <col width="14" customWidth="1" style="16" min="7" max="8"/>
    <col width="22" customWidth="1" style="16" min="9" max="9"/>
    <col width="42" customWidth="1" style="16" min="10" max="10"/>
    <col width="34" customWidth="1" style="16" min="11" max="11"/>
    <col width="40" customWidth="1" style="16" min="12" max="12"/>
    <col width="9.140625" customWidth="1" style="16" min="14" max="14"/>
  </cols>
  <sheetData>
    <row r="1" ht="30" customHeight="1" s="16">
      <c r="A1" s="26" t="inlineStr">
        <is>
          <t>Updated with implementation support sheets: README, Data_Dictionary, Calculation_Pipeline, Override_Policy, Export_Mapping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 ht="30" customHeight="1" s="16">
      <c r="A2" s="1" t="inlineStr">
        <is>
          <t>Код переменной</t>
        </is>
      </c>
      <c r="B2" s="1" t="inlineStr">
        <is>
          <t>Название / смысл</t>
        </is>
      </c>
      <c r="C2" s="1" t="inlineStr">
        <is>
          <t>MVP / Later</t>
        </is>
      </c>
      <c r="D2" s="1" t="inlineStr">
        <is>
          <t>Где живёт</t>
        </is>
      </c>
      <c r="E2" s="1" t="inlineStr">
        <is>
          <t>Уровень</t>
        </is>
      </c>
      <c r="F2" s="1" t="inlineStr">
        <is>
          <t>Тип</t>
        </is>
      </c>
      <c r="G2" s="1" t="inlineStr">
        <is>
          <t>Editable in UI</t>
        </is>
      </c>
      <c r="H2" s="1" t="inlineStr">
        <is>
          <t>Ед. изм.</t>
        </is>
      </c>
      <c r="I2" s="1" t="inlineStr">
        <is>
          <t>Источник</t>
        </is>
      </c>
      <c r="J2" s="1" t="inlineStr">
        <is>
          <t>Формула / логика</t>
        </is>
      </c>
      <c r="K2" s="1" t="inlineStr">
        <is>
          <t>Принцип ввода / редактирования</t>
        </is>
      </c>
      <c r="L2" s="1" t="inlineStr">
        <is>
          <t>Описание / комментарий</t>
        </is>
      </c>
    </row>
    <row r="3" ht="24" customHeight="1" s="16">
      <c r="A3" s="2" t="inlineStr">
        <is>
          <t>PROJECT_NAME</t>
        </is>
      </c>
      <c r="B3" s="2" t="inlineStr">
        <is>
          <t>Название проекта</t>
        </is>
      </c>
      <c r="C3" s="5" t="inlineStr">
        <is>
          <t>MVP</t>
        </is>
      </c>
      <c r="D3" s="2" t="inlineStr">
        <is>
          <t>Project</t>
        </is>
      </c>
      <c r="E3" s="2" t="inlineStr">
        <is>
          <t>Проект</t>
        </is>
      </c>
      <c r="F3" s="2" t="inlineStr">
        <is>
          <t>Ввод</t>
        </is>
      </c>
      <c r="G3" s="2" t="inlineStr">
        <is>
          <t>Да</t>
        </is>
      </c>
      <c r="H3" s="2" t="inlineStr">
        <is>
          <t>текст</t>
        </is>
      </c>
      <c r="I3" s="2" t="inlineStr">
        <is>
          <t>Пользователь</t>
        </is>
      </c>
      <c r="J3" s="3" t="inlineStr">
        <is>
          <t>—</t>
        </is>
      </c>
      <c r="K3" s="2" t="inlineStr">
        <is>
          <t>Обязательное поле</t>
        </is>
      </c>
      <c r="L3" s="2" t="inlineStr">
        <is>
          <t>Уникальное имя проекта</t>
        </is>
      </c>
    </row>
    <row r="4" ht="24" customHeight="1" s="16">
      <c r="A4" s="9" t="inlineStr">
        <is>
          <t>BRAND_NAME</t>
        </is>
      </c>
      <c r="B4" s="2" t="inlineStr">
        <is>
          <t>Бренд</t>
        </is>
      </c>
      <c r="C4" s="5" t="inlineStr">
        <is>
          <t>MVP</t>
        </is>
      </c>
      <c r="D4" s="2" t="inlineStr">
        <is>
          <t>Project</t>
        </is>
      </c>
      <c r="E4" s="2" t="inlineStr">
        <is>
          <t>Проект</t>
        </is>
      </c>
      <c r="F4" s="2" t="inlineStr">
        <is>
          <t>Ввод / справочник</t>
        </is>
      </c>
      <c r="G4" s="2" t="inlineStr">
        <is>
          <t>Да</t>
        </is>
      </c>
      <c r="H4" s="2" t="inlineStr">
        <is>
          <t>текст</t>
        </is>
      </c>
      <c r="I4" s="2" t="inlineStr">
        <is>
          <t>Пользователь / справочник</t>
        </is>
      </c>
      <c r="J4" s="3" t="inlineStr">
        <is>
          <t>Участвует в  название SKU</t>
        </is>
      </c>
      <c r="K4" s="2" t="inlineStr">
        <is>
          <t>Выбор из справочника или ручной ввод</t>
        </is>
      </c>
      <c r="L4" s="2" t="inlineStr">
        <is>
          <t>Идентификация проекта и SKU</t>
        </is>
      </c>
    </row>
    <row r="5" ht="24" customHeight="1" s="16">
      <c r="A5" s="2" t="inlineStr">
        <is>
          <t>CATEGORY</t>
        </is>
      </c>
      <c r="B5" s="2" t="inlineStr">
        <is>
          <t>Категория</t>
        </is>
      </c>
      <c r="C5" s="5" t="inlineStr">
        <is>
          <t>MVP</t>
        </is>
      </c>
      <c r="D5" s="2" t="inlineStr">
        <is>
          <t>Project</t>
        </is>
      </c>
      <c r="E5" s="2" t="inlineStr">
        <is>
          <t>Проект</t>
        </is>
      </c>
      <c r="F5" s="2" t="inlineStr">
        <is>
          <t>Ввод / справочник</t>
        </is>
      </c>
      <c r="G5" s="2" t="inlineStr">
        <is>
          <t>Да</t>
        </is>
      </c>
      <c r="H5" s="2" t="inlineStr">
        <is>
          <t>текст / код</t>
        </is>
      </c>
      <c r="I5" s="2" t="inlineStr">
        <is>
          <t>Справочник категории</t>
        </is>
      </c>
      <c r="J5" s="3" t="inlineStr">
        <is>
          <t>Добавляет в расчет сезонность, влияет на произведение ND (ТТ) и офтейков.</t>
        </is>
      </c>
      <c r="K5" s="2" t="inlineStr">
        <is>
          <t>Выбор категории</t>
        </is>
      </c>
      <c r="L5" s="2" t="inlineStr">
        <is>
          <t>Тянет  seasonality влияющие на  бенчмарки ND / off-take /</t>
        </is>
      </c>
    </row>
    <row r="6" ht="24" customHeight="1" s="16">
      <c r="A6" s="2" t="inlineStr">
        <is>
          <t>COUNTRY</t>
        </is>
      </c>
      <c r="B6" s="2" t="inlineStr">
        <is>
          <t>Страна рынка</t>
        </is>
      </c>
      <c r="C6" s="5" t="inlineStr">
        <is>
          <t>MVP</t>
        </is>
      </c>
      <c r="D6" s="2" t="inlineStr">
        <is>
          <t>Project</t>
        </is>
      </c>
      <c r="E6" s="2" t="inlineStr">
        <is>
          <t>Проект</t>
        </is>
      </c>
      <c r="F6" s="2" t="inlineStr">
        <is>
          <t>Справочник</t>
        </is>
      </c>
      <c r="G6" s="6" t="inlineStr">
        <is>
          <t>Нет</t>
        </is>
      </c>
      <c r="H6" s="2" t="inlineStr">
        <is>
          <t>текст</t>
        </is>
      </c>
      <c r="I6" s="2" t="inlineStr">
        <is>
          <t>Система</t>
        </is>
      </c>
      <c r="J6" s="3" t="inlineStr">
        <is>
          <t>—</t>
        </is>
      </c>
      <c r="K6" s="2" t="inlineStr">
        <is>
          <t>В MVP фиксировано</t>
        </is>
      </c>
      <c r="L6" s="2" t="inlineStr">
        <is>
          <t>Россия в первой версии</t>
        </is>
      </c>
    </row>
    <row r="7" ht="24" customHeight="1" s="16">
      <c r="A7" s="2" t="inlineStr">
        <is>
          <t>CURRENCY</t>
        </is>
      </c>
      <c r="B7" s="2" t="inlineStr">
        <is>
          <t>Валюта расчётов</t>
        </is>
      </c>
      <c r="C7" s="5" t="inlineStr">
        <is>
          <t>MVP</t>
        </is>
      </c>
      <c r="D7" s="2" t="inlineStr">
        <is>
          <t>Project</t>
        </is>
      </c>
      <c r="E7" s="2" t="inlineStr">
        <is>
          <t>Проект</t>
        </is>
      </c>
      <c r="F7" s="2" t="inlineStr">
        <is>
          <t>Справочник</t>
        </is>
      </c>
      <c r="G7" s="6" t="inlineStr">
        <is>
          <t>Нет</t>
        </is>
      </c>
      <c r="H7" s="2" t="inlineStr">
        <is>
          <t>код</t>
        </is>
      </c>
      <c r="I7" s="2" t="inlineStr">
        <is>
          <t>Система</t>
        </is>
      </c>
      <c r="J7" s="3" t="inlineStr">
        <is>
          <t>—</t>
        </is>
      </c>
      <c r="K7" s="2" t="inlineStr">
        <is>
          <t>В MVP фиксировано</t>
        </is>
      </c>
      <c r="L7" s="2" t="inlineStr">
        <is>
          <t>RUB в первой версии</t>
        </is>
      </c>
    </row>
    <row r="8" ht="24" customHeight="1" s="16">
      <c r="A8" s="2" t="inlineStr">
        <is>
          <t>DISCOUNT_RATE</t>
        </is>
      </c>
      <c r="B8" s="2" t="inlineStr">
        <is>
          <t>Ставка дисконтирования (WACC)</t>
        </is>
      </c>
      <c r="C8" s="5" t="inlineStr">
        <is>
          <t>MVP</t>
        </is>
      </c>
      <c r="D8" s="2" t="inlineStr">
        <is>
          <t>Project</t>
        </is>
      </c>
      <c r="E8" s="2" t="inlineStr">
        <is>
          <t>Проект</t>
        </is>
      </c>
      <c r="F8" s="2" t="inlineStr">
        <is>
          <t>Ввод / справочник</t>
        </is>
      </c>
      <c r="G8" s="2" t="inlineStr">
        <is>
          <t>Да</t>
        </is>
      </c>
      <c r="H8" s="2" t="inlineStr">
        <is>
          <t>%</t>
        </is>
      </c>
      <c r="I8" s="2" t="inlineStr">
        <is>
          <t>Финансы / пользователь</t>
        </is>
      </c>
      <c r="J8" s="3" t="inlineStr">
        <is>
          <t>Используется для NPV</t>
        </is>
      </c>
      <c r="K8" s="2" t="inlineStr">
        <is>
          <t>Ручной ввод с дефолтом</t>
        </is>
      </c>
      <c r="L8" s="2" t="inlineStr">
        <is>
          <t>Ставка дисконтирования FCF</t>
        </is>
      </c>
    </row>
    <row r="9" ht="24" customHeight="1" s="16">
      <c r="A9" s="2" t="inlineStr">
        <is>
          <t>INFLATION_PROFILE</t>
        </is>
      </c>
      <c r="B9" s="2" t="inlineStr">
        <is>
          <t>Профиль инфляции</t>
        </is>
      </c>
      <c r="C9" s="5" t="inlineStr">
        <is>
          <t>MVP</t>
        </is>
      </c>
      <c r="D9" s="2" t="inlineStr">
        <is>
          <t>Project</t>
        </is>
      </c>
      <c r="E9" s="2" t="inlineStr">
        <is>
          <t>Проект</t>
        </is>
      </c>
      <c r="F9" s="2" t="inlineStr">
        <is>
          <t>Ввод / справочник</t>
        </is>
      </c>
      <c r="G9" s="2" t="inlineStr">
        <is>
          <t>Да</t>
        </is>
      </c>
      <c r="H9" s="2" t="inlineStr">
        <is>
          <t>код</t>
        </is>
      </c>
      <c r="I9" s="2" t="inlineStr">
        <is>
          <t>Справочник инфляции</t>
        </is>
      </c>
      <c r="J9" s="3" t="inlineStr">
        <is>
          <t>Определяет коэффициенты инфляции по периодам</t>
        </is>
      </c>
      <c r="K9" s="2" t="inlineStr">
        <is>
          <t>Выбор сценария инфляции</t>
        </is>
      </c>
      <c r="L9" s="2" t="inlineStr">
        <is>
          <t>Может применяться к цене, COGS, OPEX</t>
        </is>
      </c>
    </row>
    <row r="10" ht="24" customHeight="1" s="16">
      <c r="A10" s="2" t="inlineStr">
        <is>
          <t>TAX_RATE</t>
        </is>
      </c>
      <c r="B10" s="2" t="inlineStr">
        <is>
          <t>Ставка налога на прибыль</t>
        </is>
      </c>
      <c r="C10" s="5" t="inlineStr">
        <is>
          <t>MVP</t>
        </is>
      </c>
      <c r="D10" s="2" t="inlineStr">
        <is>
          <t>Project</t>
        </is>
      </c>
      <c r="E10" s="2" t="inlineStr">
        <is>
          <t>Проект</t>
        </is>
      </c>
      <c r="F10" s="2" t="inlineStr">
        <is>
          <t>Ввод / справочник</t>
        </is>
      </c>
      <c r="G10" s="2" t="inlineStr">
        <is>
          <t>Да</t>
        </is>
      </c>
      <c r="H10" s="2" t="inlineStr">
        <is>
          <t>%</t>
        </is>
      </c>
      <c r="I10" s="2" t="inlineStr">
        <is>
          <t>Финансы / пользователь</t>
        </is>
      </c>
      <c r="J10" s="3" t="inlineStr">
        <is>
          <t>Используется в PROFIT_TAX</t>
        </is>
      </c>
      <c r="K10" s="2" t="inlineStr">
        <is>
          <t>Ручной ввод с дефолтом</t>
        </is>
      </c>
      <c r="L10" s="2" t="inlineStr">
        <is>
          <t>Налог на прибыль</t>
        </is>
      </c>
    </row>
    <row r="11" ht="24" customHeight="1" s="16">
      <c r="A11" s="2" t="inlineStr">
        <is>
          <t>PROJECT_START_DATE</t>
        </is>
      </c>
      <c r="B11" s="2" t="inlineStr">
        <is>
          <t>Дата старта проекта</t>
        </is>
      </c>
      <c r="C11" s="5" t="inlineStr">
        <is>
          <t>MVP</t>
        </is>
      </c>
      <c r="D11" s="2" t="inlineStr">
        <is>
          <t>Project</t>
        </is>
      </c>
      <c r="E11" s="2" t="inlineStr">
        <is>
          <t>Проект</t>
        </is>
      </c>
      <c r="F11" s="2" t="inlineStr">
        <is>
          <t>Ввод</t>
        </is>
      </c>
      <c r="G11" s="2" t="inlineStr">
        <is>
          <t>Да</t>
        </is>
      </c>
      <c r="H11" s="2" t="inlineStr">
        <is>
          <t>дата</t>
        </is>
      </c>
      <c r="I11" s="2" t="inlineStr">
        <is>
          <t>Пользователь</t>
        </is>
      </c>
      <c r="J11" s="3" t="inlineStr">
        <is>
          <t>Определяет M1 и первые 36 мес.</t>
        </is>
      </c>
      <c r="K11" s="2" t="inlineStr">
        <is>
          <t>Выбор даты</t>
        </is>
      </c>
      <c r="L11" s="2" t="inlineStr">
        <is>
          <t>Календарная привязка модели</t>
        </is>
      </c>
    </row>
    <row r="12" ht="24" customHeight="1" s="16">
      <c r="A12" s="2" t="inlineStr">
        <is>
          <t>PROJECT_HORIZON_Y</t>
        </is>
      </c>
      <c r="B12" s="2" t="inlineStr">
        <is>
          <t>Горизонт модели</t>
        </is>
      </c>
      <c r="C12" s="5" t="inlineStr">
        <is>
          <t>MVP</t>
        </is>
      </c>
      <c r="D12" s="2" t="inlineStr">
        <is>
          <t>Project</t>
        </is>
      </c>
      <c r="E12" s="2" t="inlineStr">
        <is>
          <t>Проект</t>
        </is>
      </c>
      <c r="F12" s="2" t="inlineStr">
        <is>
          <t>Ввод / справочник</t>
        </is>
      </c>
      <c r="G12" s="2" t="inlineStr">
        <is>
          <t>Да</t>
        </is>
      </c>
      <c r="H12" s="2" t="inlineStr">
        <is>
          <t>лет</t>
        </is>
      </c>
      <c r="I12" s="2" t="inlineStr">
        <is>
          <t>Пользователь / система</t>
        </is>
      </c>
      <c r="J12" s="3" t="inlineStr">
        <is>
          <t>По умолчанию = 10 лет (36 мес + 7 лет)</t>
        </is>
      </c>
      <c r="K12" s="2" t="inlineStr">
        <is>
          <t>Предзаполнено 10</t>
        </is>
      </c>
      <c r="L12" s="2" t="inlineStr">
        <is>
          <t>Горизонт расчёта</t>
        </is>
      </c>
    </row>
    <row r="13" ht="24" customHeight="1" s="16">
      <c r="A13" s="3" t="inlineStr">
        <is>
          <t>SCENARIO_ID</t>
        </is>
      </c>
      <c r="B13" s="3" t="inlineStr">
        <is>
          <t>Сценарий</t>
        </is>
      </c>
      <c r="C13" s="7" t="inlineStr">
        <is>
          <t>MVP</t>
        </is>
      </c>
      <c r="D13" s="3" t="inlineStr">
        <is>
          <t>Scenario</t>
        </is>
      </c>
      <c r="E13" s="3" t="inlineStr">
        <is>
          <t>Сценарий</t>
        </is>
      </c>
      <c r="F13" s="3" t="inlineStr">
        <is>
          <t>Система / ввод</t>
        </is>
      </c>
      <c r="G13" s="3" t="inlineStr">
        <is>
          <t>Да</t>
        </is>
      </c>
      <c r="H13" s="3" t="inlineStr">
        <is>
          <t>код</t>
        </is>
      </c>
      <c r="I13" s="3" t="inlineStr">
        <is>
          <t>Система / пользователь</t>
        </is>
      </c>
      <c r="J13" s="3" t="inlineStr">
        <is>
          <t>Base / Conservative / Aggressive</t>
        </is>
      </c>
      <c r="K13" s="3" t="inlineStr">
        <is>
          <t>Выбор из 3 сценариев</t>
        </is>
      </c>
      <c r="L13" s="3" t="inlineStr">
        <is>
          <t>Conservative и Aggressive зависят от Base</t>
        </is>
      </c>
    </row>
    <row r="14" ht="24" customHeight="1" s="16">
      <c r="A14" s="2" t="inlineStr">
        <is>
          <t>SCENARIO_NOTES</t>
        </is>
      </c>
      <c r="B14" s="2" t="inlineStr">
        <is>
          <t>Описание сценария</t>
        </is>
      </c>
      <c r="C14" s="5" t="inlineStr">
        <is>
          <t>MVP</t>
        </is>
      </c>
      <c r="D14" s="2" t="inlineStr">
        <is>
          <t>Scenario</t>
        </is>
      </c>
      <c r="E14" s="2" t="inlineStr">
        <is>
          <t>Сценарий</t>
        </is>
      </c>
      <c r="F14" s="2" t="inlineStr">
        <is>
          <t>Ввод</t>
        </is>
      </c>
      <c r="G14" s="2" t="inlineStr">
        <is>
          <t>Да</t>
        </is>
      </c>
      <c r="H14" s="2" t="inlineStr">
        <is>
          <t>текст</t>
        </is>
      </c>
      <c r="I14" s="2" t="inlineStr">
        <is>
          <t>Пользователь</t>
        </is>
      </c>
      <c r="J14" s="3" t="inlineStr">
        <is>
          <t>—</t>
        </is>
      </c>
      <c r="K14" s="2" t="inlineStr">
        <is>
          <t>Необязательное поле</t>
        </is>
      </c>
      <c r="L14" s="2" t="inlineStr">
        <is>
          <t>Комментарий к сценарию</t>
        </is>
      </c>
    </row>
    <row r="15" ht="24" customHeight="1" s="16">
      <c r="A15" s="2" t="inlineStr">
        <is>
          <t>SCENARIO_DELTA_ND</t>
        </is>
      </c>
      <c r="B15" s="2" t="inlineStr">
        <is>
          <t>Отклонение ND к Base</t>
        </is>
      </c>
      <c r="C15" s="5" t="inlineStr">
        <is>
          <t>MVP</t>
        </is>
      </c>
      <c r="D15" s="2" t="inlineStr">
        <is>
          <t>Scenario</t>
        </is>
      </c>
      <c r="E15" s="2" t="inlineStr">
        <is>
          <t>Сценарий</t>
        </is>
      </c>
      <c r="F15" s="2" t="inlineStr">
        <is>
          <t>Ввод</t>
        </is>
      </c>
      <c r="G15" s="2" t="inlineStr">
        <is>
          <t>Да</t>
        </is>
      </c>
      <c r="H15" s="2" t="inlineStr">
        <is>
          <t>%</t>
        </is>
      </c>
      <c r="I15" s="2" t="inlineStr">
        <is>
          <t>Пользователь</t>
        </is>
      </c>
      <c r="J15" s="3" t="inlineStr">
        <is>
          <t>SCENARIO_ND = BASE_ND × (1 + delta)</t>
        </is>
      </c>
      <c r="K15" s="2" t="inlineStr">
        <is>
          <t>По умолчанию ±50%</t>
        </is>
      </c>
      <c r="L15" s="2" t="inlineStr">
        <is>
          <t>Управляемое отклонение сценария</t>
        </is>
      </c>
    </row>
    <row r="16" ht="24" customHeight="1" s="16">
      <c r="A16" s="2" t="inlineStr">
        <is>
          <t>SCENARIO_DELTA_OFFTAKE</t>
        </is>
      </c>
      <c r="B16" s="2" t="inlineStr">
        <is>
          <t>Отклонение Off-take к Base</t>
        </is>
      </c>
      <c r="C16" s="5" t="inlineStr">
        <is>
          <t>MVP</t>
        </is>
      </c>
      <c r="D16" s="2" t="inlineStr">
        <is>
          <t>Scenario</t>
        </is>
      </c>
      <c r="E16" s="2" t="inlineStr">
        <is>
          <t>Сценарий</t>
        </is>
      </c>
      <c r="F16" s="2" t="inlineStr">
        <is>
          <t>Ввод</t>
        </is>
      </c>
      <c r="G16" s="2" t="inlineStr">
        <is>
          <t>Да</t>
        </is>
      </c>
      <c r="H16" s="2" t="inlineStr">
        <is>
          <t>%</t>
        </is>
      </c>
      <c r="I16" s="2" t="inlineStr">
        <is>
          <t>Пользователь</t>
        </is>
      </c>
      <c r="J16" s="3" t="inlineStr">
        <is>
          <t>SCENARIO_OFFTAKE = BASE_OFFTAKE × (1 + delta)</t>
        </is>
      </c>
      <c r="K16" s="2" t="inlineStr">
        <is>
          <t>По умолчанию ±50%</t>
        </is>
      </c>
      <c r="L16" s="2" t="inlineStr">
        <is>
          <t>Управляемое отклонение сценария</t>
        </is>
      </c>
      <c r="N16" s="10" t="n"/>
    </row>
    <row r="17" ht="24" customHeight="1" s="16">
      <c r="A17" s="2" t="inlineStr">
        <is>
          <t>SCENARIO_DELTA_OPEX</t>
        </is>
      </c>
      <c r="B17" s="2" t="inlineStr">
        <is>
          <t>Отклонение OPEX к Base</t>
        </is>
      </c>
      <c r="C17" s="5" t="inlineStr">
        <is>
          <t>MVP</t>
        </is>
      </c>
      <c r="D17" s="2" t="inlineStr">
        <is>
          <t>Scenario</t>
        </is>
      </c>
      <c r="E17" s="2" t="inlineStr">
        <is>
          <t>Сценарий</t>
        </is>
      </c>
      <c r="F17" s="2" t="inlineStr">
        <is>
          <t>Ввод</t>
        </is>
      </c>
      <c r="G17" s="2" t="inlineStr">
        <is>
          <t>Да</t>
        </is>
      </c>
      <c r="H17" s="2" t="inlineStr">
        <is>
          <t>%</t>
        </is>
      </c>
      <c r="I17" s="2" t="inlineStr">
        <is>
          <t>Пользователь</t>
        </is>
      </c>
      <c r="J17" s="3" t="inlineStr">
        <is>
          <t>SCENARIO_OPEX = BASE_OPEX × (1 + delta)</t>
        </is>
      </c>
      <c r="K17" s="2" t="inlineStr">
        <is>
          <t>По умолчанию ±50%</t>
        </is>
      </c>
      <c r="L17" s="2" t="inlineStr">
        <is>
          <t>Управляемое отклонение сценария</t>
        </is>
      </c>
    </row>
    <row r="18" ht="24" customHeight="1" s="16">
      <c r="A18" s="27" t="inlineStr">
        <is>
          <t>SKU и продукт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 ht="30" customHeight="1" s="16">
      <c r="A19" s="1" t="inlineStr">
        <is>
          <t>Код переменной</t>
        </is>
      </c>
      <c r="B19" s="1" t="inlineStr">
        <is>
          <t>Название / смысл</t>
        </is>
      </c>
      <c r="C19" s="1" t="inlineStr">
        <is>
          <t>MVP / Later</t>
        </is>
      </c>
      <c r="D19" s="1" t="inlineStr">
        <is>
          <t>Где живёт</t>
        </is>
      </c>
      <c r="E19" s="1" t="inlineStr">
        <is>
          <t>Уровень</t>
        </is>
      </c>
      <c r="F19" s="1" t="inlineStr">
        <is>
          <t>Тип</t>
        </is>
      </c>
      <c r="G19" s="1" t="inlineStr">
        <is>
          <t>Editable in UI</t>
        </is>
      </c>
      <c r="H19" s="1" t="inlineStr">
        <is>
          <t>Ед. изм.</t>
        </is>
      </c>
      <c r="I19" s="1" t="inlineStr">
        <is>
          <t>Источник</t>
        </is>
      </c>
      <c r="J19" s="1" t="inlineStr">
        <is>
          <t>Формула / логика</t>
        </is>
      </c>
      <c r="K19" s="1" t="inlineStr">
        <is>
          <t>Принцип ввода / редактирования</t>
        </is>
      </c>
      <c r="L19" s="1" t="inlineStr">
        <is>
          <t>Описание / комментарий</t>
        </is>
      </c>
    </row>
    <row r="20" ht="24" customHeight="1" s="16">
      <c r="A20" s="2" t="inlineStr">
        <is>
          <t>SKU_ID</t>
        </is>
      </c>
      <c r="B20" s="2" t="inlineStr">
        <is>
          <t>Идентификатор SKU</t>
        </is>
      </c>
      <c r="C20" s="5" t="inlineStr">
        <is>
          <t>MVP</t>
        </is>
      </c>
      <c r="D20" s="2" t="inlineStr">
        <is>
          <t>ProjectSKU</t>
        </is>
      </c>
      <c r="E20" s="2" t="inlineStr">
        <is>
          <t>SKU</t>
        </is>
      </c>
      <c r="F20" s="2" t="inlineStr">
        <is>
          <t>Справочник</t>
        </is>
      </c>
      <c r="G20" s="2" t="inlineStr">
        <is>
          <t>Да</t>
        </is>
      </c>
      <c r="H20" s="2" t="inlineStr">
        <is>
          <t>код</t>
        </is>
      </c>
      <c r="I20" s="2" t="inlineStr">
        <is>
          <t>Справочник SKU</t>
        </is>
      </c>
      <c r="J20" s="3" t="inlineStr">
        <is>
          <t>—</t>
        </is>
      </c>
      <c r="K20" s="2" t="inlineStr">
        <is>
          <t>Выбор или создание SKU</t>
        </is>
      </c>
      <c r="L20" s="2" t="inlineStr">
        <is>
          <t>Ключ по модели</t>
        </is>
      </c>
    </row>
    <row r="21" ht="24" customHeight="1" s="16">
      <c r="A21" s="9" t="inlineStr">
        <is>
          <t>SKU_NAME</t>
        </is>
      </c>
      <c r="B21" s="2" t="inlineStr">
        <is>
          <t>Наименование SKU</t>
        </is>
      </c>
      <c r="C21" s="5" t="inlineStr">
        <is>
          <t>MVP</t>
        </is>
      </c>
      <c r="D21" s="2" t="inlineStr">
        <is>
          <t>ProjectSKU</t>
        </is>
      </c>
      <c r="E21" s="2" t="inlineStr">
        <is>
          <t>SKU</t>
        </is>
      </c>
      <c r="F21" s="2" t="inlineStr">
        <is>
          <t>Ввод / справочник</t>
        </is>
      </c>
      <c r="G21" s="2" t="inlineStr">
        <is>
          <t>Да</t>
        </is>
      </c>
      <c r="H21" s="2" t="inlineStr">
        <is>
          <t>текст</t>
        </is>
      </c>
      <c r="I21" s="2" t="inlineStr">
        <is>
          <t>Пользователь / справочник</t>
        </is>
      </c>
      <c r="J21" s="11" t="inlineStr">
        <is>
          <t>Участвует в  название SKU Принцип формирования название: BRAND_NAME + SKU_NAME + SKU_FLAFOUR + NET_CONTENT + SKU_PKG_TYPE + SKU_CASE_INCL</t>
        </is>
      </c>
      <c r="K21" s="2" t="inlineStr">
        <is>
          <t>Ручной ввод / выбор</t>
        </is>
      </c>
      <c r="L21" s="2" t="inlineStr">
        <is>
          <t>Человекочитаемое имя SKU</t>
        </is>
      </c>
    </row>
    <row r="22" ht="24" customHeight="1" s="16">
      <c r="A22" s="2" t="inlineStr">
        <is>
          <t>SKU_FORMAT</t>
        </is>
      </c>
      <c r="B22" s="2" t="inlineStr">
        <is>
          <t>Формат SKU</t>
        </is>
      </c>
      <c r="C22" s="5" t="inlineStr">
        <is>
          <t>MVP</t>
        </is>
      </c>
      <c r="D22" s="2" t="inlineStr">
        <is>
          <t>ProjectSKU</t>
        </is>
      </c>
      <c r="E22" s="2" t="inlineStr">
        <is>
          <t>SKU</t>
        </is>
      </c>
      <c r="F22" s="2" t="inlineStr">
        <is>
          <t>Ввод / справочник</t>
        </is>
      </c>
      <c r="G22" s="2" t="inlineStr">
        <is>
          <t>Да</t>
        </is>
      </c>
      <c r="H22" s="2" t="inlineStr">
        <is>
          <t>текст</t>
        </is>
      </c>
      <c r="I22" s="2" t="inlineStr">
        <is>
          <t>Пользователь / справочник</t>
        </is>
      </c>
      <c r="J22" s="11" t="inlineStr">
        <is>
          <t>Участвует в  название SKU Принцип формирования название: BRAND_NAME + SKU_NAME + SKU_FLAFOUR + NET_CONTENT + SKU_PKG_TYPE + SKU_CASE_INCL</t>
        </is>
      </c>
      <c r="K22" s="2" t="inlineStr">
        <is>
          <t>Выбор формата</t>
        </is>
      </c>
      <c r="L22" s="2" t="inlineStr">
        <is>
          <t>Влияет на BOM, цену, логистику</t>
        </is>
      </c>
    </row>
    <row r="23" ht="24" customHeight="1" s="16">
      <c r="A23" s="2" t="inlineStr">
        <is>
          <t>SKU_SEGMENT</t>
        </is>
      </c>
      <c r="B23" s="2" t="inlineStr">
        <is>
          <t>Категория SKU</t>
        </is>
      </c>
      <c r="C23" s="5" t="inlineStr">
        <is>
          <t>MVP</t>
        </is>
      </c>
      <c r="D23" s="2" t="inlineStr">
        <is>
          <t>ProjectSKU</t>
        </is>
      </c>
      <c r="E23" s="2" t="inlineStr">
        <is>
          <t>SKU</t>
        </is>
      </c>
      <c r="F23" s="2" t="inlineStr">
        <is>
          <t>Ввод</t>
        </is>
      </c>
      <c r="G23" s="2" t="inlineStr">
        <is>
          <t>Да</t>
        </is>
      </c>
      <c r="H23" s="2" t="inlineStr">
        <is>
          <t>текст / код</t>
        </is>
      </c>
      <c r="I23" s="2" t="inlineStr">
        <is>
          <t>Пользователь / справочник</t>
        </is>
      </c>
      <c r="J23" s="3" t="inlineStr">
        <is>
          <t>Вводит в расчет чезонность. Значение увиличевает или уменьшает произведение колличества торговых точек (ND) и офтейков</t>
        </is>
      </c>
      <c r="K23" s="2" t="inlineStr">
        <is>
          <t>Ручной ввод</t>
        </is>
      </c>
      <c r="L23" s="2" t="inlineStr">
        <is>
          <t>Вводит в расчеты показатель сезонности</t>
        </is>
      </c>
    </row>
    <row r="24" ht="24" customHeight="1" s="16">
      <c r="A24" s="9" t="inlineStr">
        <is>
          <t>NET_CONTENT</t>
        </is>
      </c>
      <c r="B24" s="2" t="inlineStr">
        <is>
          <t>Нетто-объём</t>
        </is>
      </c>
      <c r="C24" s="5" t="inlineStr">
        <is>
          <t>MVP</t>
        </is>
      </c>
      <c r="D24" s="2" t="inlineStr">
        <is>
          <t>ProjectSKU</t>
        </is>
      </c>
      <c r="E24" s="2" t="inlineStr">
        <is>
          <t>SKU</t>
        </is>
      </c>
      <c r="F24" s="2" t="inlineStr">
        <is>
          <t>Ввод</t>
        </is>
      </c>
      <c r="G24" s="2" t="inlineStr">
        <is>
          <t>Да</t>
        </is>
      </c>
      <c r="H24" s="2" t="inlineStr">
        <is>
          <t>мл / г</t>
        </is>
      </c>
      <c r="I24" s="2" t="inlineStr">
        <is>
          <t>Пользователь</t>
        </is>
      </c>
      <c r="J24" s="3" t="inlineStr">
        <is>
          <t>VOLUME_LITERS = VOLUME_UNITS × NET_CONTENT_COEFF</t>
        </is>
      </c>
      <c r="K24" s="2" t="inlineStr">
        <is>
          <t>Ручной ввод</t>
        </is>
      </c>
      <c r="L24" s="2" t="inlineStr">
        <is>
          <t>Перевод в литры / кг</t>
        </is>
      </c>
    </row>
    <row r="25" ht="24" customHeight="1" s="16">
      <c r="A25" s="14" t="inlineStr">
        <is>
          <t>SKU_FLAFOUR</t>
        </is>
      </c>
      <c r="B25" s="14" t="inlineStr">
        <is>
          <t>Вкус напитка</t>
        </is>
      </c>
      <c r="C25" s="15" t="inlineStr">
        <is>
          <t>MVP</t>
        </is>
      </c>
      <c r="D25" s="14" t="inlineStr">
        <is>
          <t>ProjectSKU</t>
        </is>
      </c>
      <c r="E25" s="14" t="inlineStr">
        <is>
          <t>SKU</t>
        </is>
      </c>
      <c r="F25" s="14" t="inlineStr">
        <is>
          <t>Ввод</t>
        </is>
      </c>
      <c r="G25" s="14" t="inlineStr">
        <is>
          <t>Да</t>
        </is>
      </c>
      <c r="H25" s="14" t="inlineStr">
        <is>
          <t>текст</t>
        </is>
      </c>
      <c r="I25" s="14" t="inlineStr">
        <is>
          <t>Пользователь / справочник</t>
        </is>
      </c>
      <c r="J25" s="14" t="inlineStr">
        <is>
          <t>Участвует в  название SKU Принцип формирования название: BRAND_NAME + SKU_NAME + SKU_FLAFOUR + NET_CONTENT + SKU_PKG_TYPE + SKU_CASE_INCL</t>
        </is>
      </c>
      <c r="K25" s="14" t="inlineStr">
        <is>
          <t>Ручной ввод</t>
        </is>
      </c>
      <c r="L25" s="14" t="inlineStr">
        <is>
          <t>Опционально</t>
        </is>
      </c>
    </row>
    <row r="26" ht="24" customHeight="1" s="16">
      <c r="A26" s="14" t="inlineStr">
        <is>
          <t>SKU_CARB</t>
        </is>
      </c>
      <c r="B26" s="14" t="inlineStr">
        <is>
          <t>Степень карбонизации</t>
        </is>
      </c>
      <c r="C26" s="15" t="inlineStr">
        <is>
          <t>MVP</t>
        </is>
      </c>
      <c r="D26" s="14" t="inlineStr">
        <is>
          <t>ProjectSKU</t>
        </is>
      </c>
      <c r="E26" s="14" t="inlineStr">
        <is>
          <t>SKU</t>
        </is>
      </c>
      <c r="F26" s="14" t="inlineStr">
        <is>
          <t>Ввод</t>
        </is>
      </c>
      <c r="G26" s="14" t="inlineStr">
        <is>
          <t>Да</t>
        </is>
      </c>
      <c r="H26" s="14" t="inlineStr">
        <is>
          <t>текст</t>
        </is>
      </c>
      <c r="I26" s="14" t="inlineStr">
        <is>
          <t>Пользователь / справочник</t>
        </is>
      </c>
      <c r="J26" s="14" t="inlineStr">
        <is>
          <t>Участвует в  название SKU Принцип формирования название: BRAND_NAME + SKU_NAME + SKU_FLAFOUR + NET_CONTENT + SKU_PKG_TYPE + SKU_CASE_INCL</t>
        </is>
      </c>
      <c r="K26" s="14" t="inlineStr">
        <is>
          <t>Ручной ввод</t>
        </is>
      </c>
      <c r="L26" s="14" t="inlineStr">
        <is>
          <t>Опционально</t>
        </is>
      </c>
    </row>
    <row r="27" ht="24" customHeight="1" s="16">
      <c r="A27" s="14" t="inlineStr">
        <is>
          <t>SKU_WTR_BASE</t>
        </is>
      </c>
      <c r="B27" s="14" t="inlineStr">
        <is>
          <t>Вода на которой приготовлен напиток</t>
        </is>
      </c>
      <c r="C27" s="15" t="inlineStr">
        <is>
          <t>MVP</t>
        </is>
      </c>
      <c r="D27" s="14" t="inlineStr">
        <is>
          <t>ProjectSKU</t>
        </is>
      </c>
      <c r="E27" s="14" t="inlineStr">
        <is>
          <t>SKU</t>
        </is>
      </c>
      <c r="F27" s="14" t="inlineStr">
        <is>
          <t>Ввод</t>
        </is>
      </c>
      <c r="G27" s="14" t="inlineStr">
        <is>
          <t>Да</t>
        </is>
      </c>
      <c r="H27" s="14" t="inlineStr">
        <is>
          <t>текст</t>
        </is>
      </c>
      <c r="I27" s="14" t="inlineStr">
        <is>
          <t>Пользователь / справочник</t>
        </is>
      </c>
      <c r="J27" s="14" t="inlineStr">
        <is>
          <t>Характиризует воду из которой производится продукт</t>
        </is>
      </c>
      <c r="K27" s="14" t="inlineStr">
        <is>
          <t>Ручной ввод</t>
        </is>
      </c>
      <c r="L27" s="14" t="inlineStr">
        <is>
          <t>Опционально, Не входит в название но является фильтром</t>
        </is>
      </c>
    </row>
    <row r="28" ht="24" customHeight="1" s="16">
      <c r="A28" s="14" t="inlineStr">
        <is>
          <t>SKU_PKG_TYPE</t>
        </is>
      </c>
      <c r="B28" s="14" t="inlineStr">
        <is>
          <t>Тип упаковки</t>
        </is>
      </c>
      <c r="C28" s="15" t="inlineStr">
        <is>
          <t>MVP</t>
        </is>
      </c>
      <c r="D28" s="14" t="inlineStr">
        <is>
          <t>ProjectSKU</t>
        </is>
      </c>
      <c r="E28" s="14" t="inlineStr">
        <is>
          <t>SKU</t>
        </is>
      </c>
      <c r="F28" s="14" t="inlineStr">
        <is>
          <t>Ввод</t>
        </is>
      </c>
      <c r="G28" s="14" t="inlineStr">
        <is>
          <t>Да</t>
        </is>
      </c>
      <c r="H28" s="14" t="inlineStr">
        <is>
          <t>текст</t>
        </is>
      </c>
      <c r="I28" s="14" t="inlineStr">
        <is>
          <t>Пользователь / справочник</t>
        </is>
      </c>
      <c r="J28" s="14" t="inlineStr">
        <is>
          <t>Участвует в  название SKU Принцип формирования название: BRAND_NAME + SKU_NAME + SKU_FLAFOUR + NET_CONTENT + SKU_PKG_TYPE + SKU_CASE_INCL</t>
        </is>
      </c>
      <c r="K28" s="14" t="inlineStr">
        <is>
          <t>Ручной ввод</t>
        </is>
      </c>
      <c r="L28" s="14" t="inlineStr">
        <is>
          <t>Опционально</t>
        </is>
      </c>
    </row>
    <row r="29" ht="24" customHeight="1" s="16">
      <c r="A29" s="14" t="inlineStr">
        <is>
          <t>SKU_CASE_INCL</t>
        </is>
      </c>
      <c r="B29" s="14" t="inlineStr">
        <is>
          <t>Колличество вложений в кейс</t>
        </is>
      </c>
      <c r="C29" s="15" t="inlineStr">
        <is>
          <t>MVP</t>
        </is>
      </c>
      <c r="D29" s="14" t="inlineStr">
        <is>
          <t>ProjectSKU</t>
        </is>
      </c>
      <c r="E29" s="14" t="inlineStr">
        <is>
          <t>SKU</t>
        </is>
      </c>
      <c r="F29" s="14" t="inlineStr">
        <is>
          <t>Ввод</t>
        </is>
      </c>
      <c r="G29" s="14" t="inlineStr">
        <is>
          <t>Да</t>
        </is>
      </c>
      <c r="H29" s="14" t="inlineStr">
        <is>
          <t>текст</t>
        </is>
      </c>
      <c r="I29" s="14" t="inlineStr">
        <is>
          <t>Пользователь / справочник</t>
        </is>
      </c>
      <c r="J29" s="14" t="inlineStr">
        <is>
          <t>Участвует в  название SKU Принцип формирования название: BRAND_NAME + SKU_NAME + SKU_FLAFOUR + NET_CONTENT + SKU_PKG_TYPE + SKU_CASE_INCL</t>
        </is>
      </c>
      <c r="K29" s="14" t="inlineStr">
        <is>
          <t>Ручной ввод</t>
        </is>
      </c>
      <c r="L29" s="14" t="inlineStr">
        <is>
          <t>Опционально</t>
        </is>
      </c>
    </row>
    <row r="30" ht="24" customHeight="1" s="16">
      <c r="A30" s="2" t="inlineStr">
        <is>
          <t>BOM_ID</t>
        </is>
      </c>
      <c r="B30" s="2" t="inlineStr">
        <is>
          <t>ID техкарты</t>
        </is>
      </c>
      <c r="C30" s="5" t="inlineStr">
        <is>
          <t>MVP</t>
        </is>
      </c>
      <c r="D30" s="2" t="inlineStr">
        <is>
          <t>ProjectSKU</t>
        </is>
      </c>
      <c r="E30" s="2" t="inlineStr">
        <is>
          <t>SKU</t>
        </is>
      </c>
      <c r="F30" s="2" t="inlineStr">
        <is>
          <t>Справочник</t>
        </is>
      </c>
      <c r="G30" s="2" t="inlineStr">
        <is>
          <t>Да</t>
        </is>
      </c>
      <c r="H30" s="2" t="inlineStr">
        <is>
          <t>код</t>
        </is>
      </c>
      <c r="I30" s="2" t="inlineStr">
        <is>
          <t>База техкарт</t>
        </is>
      </c>
      <c r="J30" s="3" t="inlineStr">
        <is>
          <t>—</t>
        </is>
      </c>
      <c r="K30" s="2" t="inlineStr">
        <is>
          <t>Выбор техкарты</t>
        </is>
      </c>
      <c r="L30" s="2" t="inlineStr">
        <is>
          <t>Связь с ингредиентами. Один ингридиент идет в расчеты множества техкарт.</t>
        </is>
      </c>
    </row>
    <row r="31" ht="24" customHeight="1" s="16">
      <c r="A31" s="2" t="inlineStr">
        <is>
          <t>SKU_ACTIVE</t>
        </is>
      </c>
      <c r="B31" s="2" t="inlineStr">
        <is>
          <t>Флаг включения SKU</t>
        </is>
      </c>
      <c r="C31" s="5" t="inlineStr">
        <is>
          <t>MVP</t>
        </is>
      </c>
      <c r="D31" s="2" t="inlineStr">
        <is>
          <t>ProjectSKU</t>
        </is>
      </c>
      <c r="E31" s="2" t="inlineStr">
        <is>
          <t>Project SKU</t>
        </is>
      </c>
      <c r="F31" s="2" t="inlineStr">
        <is>
          <t>Ввод</t>
        </is>
      </c>
      <c r="G31" s="2" t="inlineStr">
        <is>
          <t>Да</t>
        </is>
      </c>
      <c r="H31" s="2" t="inlineStr">
        <is>
          <t>0/1</t>
        </is>
      </c>
      <c r="I31" s="2" t="inlineStr">
        <is>
          <t>Пользователь</t>
        </is>
      </c>
      <c r="J31" s="3" t="inlineStr">
        <is>
          <t>0 = исключен, 1 = участвует</t>
        </is>
      </c>
      <c r="K31" s="2" t="inlineStr">
        <is>
          <t>Переключатель</t>
        </is>
      </c>
      <c r="L31" s="2" t="inlineStr">
        <is>
          <t>Быстрое включение/исключение SKU</t>
        </is>
      </c>
    </row>
    <row r="32" ht="24" customHeight="1" s="16">
      <c r="A32" s="27" t="inlineStr">
        <is>
          <t>Техкарта / BOM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 ht="30" customHeight="1" s="16">
      <c r="A33" s="1" t="inlineStr">
        <is>
          <t>Код переменной</t>
        </is>
      </c>
      <c r="B33" s="1" t="inlineStr">
        <is>
          <t>Название / смысл</t>
        </is>
      </c>
      <c r="C33" s="1" t="inlineStr">
        <is>
          <t>MVP / Later</t>
        </is>
      </c>
      <c r="D33" s="1" t="inlineStr">
        <is>
          <t>Где живёт</t>
        </is>
      </c>
      <c r="E33" s="1" t="inlineStr">
        <is>
          <t>Уровень</t>
        </is>
      </c>
      <c r="F33" s="1" t="inlineStr">
        <is>
          <t>Тип</t>
        </is>
      </c>
      <c r="G33" s="1" t="inlineStr">
        <is>
          <t>Editable in UI</t>
        </is>
      </c>
      <c r="H33" s="1" t="inlineStr">
        <is>
          <t>Ед. изм.</t>
        </is>
      </c>
      <c r="I33" s="1" t="inlineStr">
        <is>
          <t>Источник</t>
        </is>
      </c>
      <c r="J33" s="1" t="inlineStr">
        <is>
          <t>Формула / логика</t>
        </is>
      </c>
      <c r="K33" s="1" t="inlineStr">
        <is>
          <t>Принцип ввода / редактирования</t>
        </is>
      </c>
      <c r="L33" s="1" t="inlineStr">
        <is>
          <t>Описание / комментарий</t>
        </is>
      </c>
    </row>
    <row r="34" ht="24" customHeight="1" s="16">
      <c r="A34" s="2" t="inlineStr">
        <is>
          <t>ING_ID</t>
        </is>
      </c>
      <c r="B34" s="2" t="inlineStr">
        <is>
          <t>Идентификатор ингредиента</t>
        </is>
      </c>
      <c r="C34" s="5" t="inlineStr">
        <is>
          <t>MVP</t>
        </is>
      </c>
      <c r="D34" s="2" t="inlineStr">
        <is>
          <t>BOMItem</t>
        </is>
      </c>
      <c r="E34" s="2" t="inlineStr">
        <is>
          <t>Ингредиент</t>
        </is>
      </c>
      <c r="F34" s="2" t="inlineStr">
        <is>
          <t>Справочник</t>
        </is>
      </c>
      <c r="G34" s="2" t="inlineStr">
        <is>
          <t>Да</t>
        </is>
      </c>
      <c r="H34" s="2" t="inlineStr">
        <is>
          <t>код</t>
        </is>
      </c>
      <c r="I34" s="2" t="inlineStr">
        <is>
          <t>База ингредиентов</t>
        </is>
      </c>
      <c r="J34" s="3" t="inlineStr">
        <is>
          <t>—</t>
        </is>
      </c>
      <c r="K34" s="2" t="inlineStr">
        <is>
          <t>Выбор из базы</t>
        </is>
      </c>
      <c r="L34" s="2" t="inlineStr">
        <is>
          <t>Ключ ингредиента</t>
        </is>
      </c>
    </row>
    <row r="35" ht="24" customHeight="1" s="16">
      <c r="A35" s="2" t="inlineStr">
        <is>
          <t>ING_NAME</t>
        </is>
      </c>
      <c r="B35" s="2" t="inlineStr">
        <is>
          <t>Название ингредиента</t>
        </is>
      </c>
      <c r="C35" s="5" t="inlineStr">
        <is>
          <t>MVP</t>
        </is>
      </c>
      <c r="D35" s="2" t="inlineStr">
        <is>
          <t>BOMItem</t>
        </is>
      </c>
      <c r="E35" s="2" t="inlineStr">
        <is>
          <t>Ингредиент</t>
        </is>
      </c>
      <c r="F35" s="2" t="inlineStr">
        <is>
          <t>Справочник</t>
        </is>
      </c>
      <c r="G35" s="6" t="inlineStr">
        <is>
          <t>Нет</t>
        </is>
      </c>
      <c r="H35" s="2" t="inlineStr">
        <is>
          <t>текст</t>
        </is>
      </c>
      <c r="I35" s="2" t="inlineStr">
        <is>
          <t>База ингредиентов</t>
        </is>
      </c>
      <c r="J35" s="3" t="inlineStr">
        <is>
          <t>—</t>
        </is>
      </c>
      <c r="K35" s="2" t="inlineStr">
        <is>
          <t>Автоподтягивание</t>
        </is>
      </c>
      <c r="L35" s="2" t="inlineStr">
        <is>
          <t>Человекочитаемое имя</t>
        </is>
      </c>
    </row>
    <row r="36" ht="24" customHeight="1" s="16">
      <c r="A36" s="2" t="inlineStr">
        <is>
          <t>ING_TYPE</t>
        </is>
      </c>
      <c r="B36" s="2" t="inlineStr">
        <is>
          <t>Тип ингредиента</t>
        </is>
      </c>
      <c r="C36" s="5" t="inlineStr">
        <is>
          <t>MVP</t>
        </is>
      </c>
      <c r="D36" s="2" t="inlineStr">
        <is>
          <t>BOMItem</t>
        </is>
      </c>
      <c r="E36" s="2" t="inlineStr">
        <is>
          <t>Ингредиент</t>
        </is>
      </c>
      <c r="F36" s="2" t="inlineStr">
        <is>
          <t>Справочник</t>
        </is>
      </c>
      <c r="G36" s="2" t="inlineStr">
        <is>
          <t>Да</t>
        </is>
      </c>
      <c r="H36" s="2" t="inlineStr">
        <is>
          <t>код</t>
        </is>
      </c>
      <c r="I36" s="2" t="inlineStr">
        <is>
          <t>База ингредиентов</t>
        </is>
      </c>
      <c r="J36" s="3" t="inlineStr">
        <is>
          <t>—</t>
        </is>
      </c>
      <c r="K36" s="2" t="inlineStr">
        <is>
          <t>Выбор из справочника</t>
        </is>
      </c>
      <c r="L36" s="2" t="inlineStr">
        <is>
          <t>Например сырьё / упаковка</t>
        </is>
      </c>
    </row>
    <row r="37" ht="24" customHeight="1" s="16">
      <c r="A37" s="2" t="inlineStr">
        <is>
          <t>ING_UNIT</t>
        </is>
      </c>
      <c r="B37" s="2" t="inlineStr">
        <is>
          <t>Единица закупки</t>
        </is>
      </c>
      <c r="C37" s="5" t="inlineStr">
        <is>
          <t>MVP</t>
        </is>
      </c>
      <c r="D37" s="2" t="inlineStr">
        <is>
          <t>BOMItem</t>
        </is>
      </c>
      <c r="E37" s="2" t="inlineStr">
        <is>
          <t>Ингредиент</t>
        </is>
      </c>
      <c r="F37" s="2" t="inlineStr">
        <is>
          <t>Справочник</t>
        </is>
      </c>
      <c r="G37" s="6" t="inlineStr">
        <is>
          <t>Нет</t>
        </is>
      </c>
      <c r="H37" s="2" t="inlineStr">
        <is>
          <t>кг / л / шт</t>
        </is>
      </c>
      <c r="I37" s="2" t="inlineStr">
        <is>
          <t>База ингредиентов</t>
        </is>
      </c>
      <c r="J37" s="3" t="inlineStr">
        <is>
          <t>—</t>
        </is>
      </c>
      <c r="K37" s="2" t="inlineStr">
        <is>
          <t>Автоподтягивание</t>
        </is>
      </c>
      <c r="L37" s="2" t="inlineStr">
        <is>
          <t>Для норм расхода</t>
        </is>
      </c>
    </row>
    <row r="38" ht="24" customHeight="1" s="16">
      <c r="A38" s="2" t="inlineStr">
        <is>
          <t>ING_PRICE</t>
        </is>
      </c>
      <c r="B38" s="2" t="inlineStr">
        <is>
          <t>Цена ингредиента</t>
        </is>
      </c>
      <c r="C38" s="5" t="inlineStr">
        <is>
          <t>MVP</t>
        </is>
      </c>
      <c r="D38" s="2" t="inlineStr">
        <is>
          <t>BOMItem</t>
        </is>
      </c>
      <c r="E38" s="2" t="inlineStr">
        <is>
          <t>Ингредиент</t>
        </is>
      </c>
      <c r="F38" s="2" t="inlineStr">
        <is>
          <t>Ввод / справочник</t>
        </is>
      </c>
      <c r="G38" s="2" t="inlineStr">
        <is>
          <t>Да</t>
        </is>
      </c>
      <c r="H38" s="2" t="inlineStr">
        <is>
          <t>₽/ед.</t>
        </is>
      </c>
      <c r="I38" s="2" t="inlineStr">
        <is>
          <t>Закупки / пользователь</t>
        </is>
      </c>
      <c r="J38" s="3" t="inlineStr">
        <is>
          <t>—</t>
        </is>
      </c>
      <c r="K38" s="2" t="inlineStr">
        <is>
          <t>Ручной ввод или цена из базы</t>
        </is>
      </c>
      <c r="L38" s="2" t="inlineStr">
        <is>
          <t>В MVP актуальная цена без историзации</t>
        </is>
      </c>
    </row>
    <row r="39" ht="24" customHeight="1" s="16">
      <c r="A39" s="2" t="inlineStr">
        <is>
          <t>ING_LOSS_RATE</t>
        </is>
      </c>
      <c r="B39" s="2" t="inlineStr">
        <is>
          <t>Норма потерь</t>
        </is>
      </c>
      <c r="C39" s="5" t="inlineStr">
        <is>
          <t>MVP</t>
        </is>
      </c>
      <c r="D39" s="2" t="inlineStr">
        <is>
          <t>BOMItem</t>
        </is>
      </c>
      <c r="E39" s="2" t="inlineStr">
        <is>
          <t>SKU × ингредиент</t>
        </is>
      </c>
      <c r="F39" s="2" t="inlineStr">
        <is>
          <t>Ввод</t>
        </is>
      </c>
      <c r="G39" s="2" t="inlineStr">
        <is>
          <t>Да</t>
        </is>
      </c>
      <c r="H39" s="2" t="inlineStr">
        <is>
          <t>%</t>
        </is>
      </c>
      <c r="I39" s="2" t="inlineStr">
        <is>
          <t>Технолог / R&amp;D</t>
        </is>
      </c>
      <c r="J39" s="3" t="inlineStr">
        <is>
          <t>Сколько сырья / материалов будет потеряно (войдет в расчет) при изготовлении SKU</t>
        </is>
      </c>
      <c r="K39" s="2" t="inlineStr">
        <is>
          <t>Ручной ввод</t>
        </is>
      </c>
      <c r="L39" s="2" t="inlineStr">
        <is>
          <t>Одна норма на компонент</t>
        </is>
      </c>
    </row>
    <row r="40" ht="24" customHeight="1" s="16">
      <c r="A40" s="2" t="inlineStr">
        <is>
          <t>ING_USAGE_RATE</t>
        </is>
      </c>
      <c r="B40" s="2" t="inlineStr">
        <is>
          <t>Норма вовлечения</t>
        </is>
      </c>
      <c r="C40" s="5" t="inlineStr">
        <is>
          <t>MVP</t>
        </is>
      </c>
      <c r="D40" s="2" t="inlineStr">
        <is>
          <t>BOMItem</t>
        </is>
      </c>
      <c r="E40" s="2" t="inlineStr">
        <is>
          <t>SKU × ингредиент</t>
        </is>
      </c>
      <c r="F40" s="2" t="inlineStr">
        <is>
          <t>Ввод</t>
        </is>
      </c>
      <c r="G40" s="2" t="inlineStr">
        <is>
          <t>Да</t>
        </is>
      </c>
      <c r="H40" s="2" t="inlineStr">
        <is>
          <t>ед. (кг / л / шт)</t>
        </is>
      </c>
      <c r="I40" s="2" t="inlineStr">
        <is>
          <t>R&amp;D / пользователь</t>
        </is>
      </c>
      <c r="J40" s="3" t="inlineStr">
        <is>
          <t>Сырья или материалов требуется в рамках рецептуры для изготовления SKU</t>
        </is>
      </c>
      <c r="K40" s="2" t="inlineStr">
        <is>
          <t>Ручной ввод</t>
        </is>
      </c>
      <c r="L40" s="2" t="inlineStr">
        <is>
          <t>Рецептура</t>
        </is>
      </c>
    </row>
    <row r="41" ht="24" customHeight="1" s="16">
      <c r="A41" s="3" t="inlineStr">
        <is>
          <t>BOM_COST_PER_UNIT</t>
        </is>
      </c>
      <c r="B41" s="3" t="inlineStr">
        <is>
          <t>Себестоимость сырья (ING_TYPE) на 1 ед.</t>
        </is>
      </c>
      <c r="C41" s="7" t="inlineStr">
        <is>
          <t>MVP</t>
        </is>
      </c>
      <c r="D41" s="3" t="inlineStr">
        <is>
          <t>ProjectSKU</t>
        </is>
      </c>
      <c r="E41" s="3" t="inlineStr">
        <is>
          <t>SKU</t>
        </is>
      </c>
      <c r="F41" s="3" t="inlineStr">
        <is>
          <t>Расчёт</t>
        </is>
      </c>
      <c r="G41" s="8" t="inlineStr">
        <is>
          <t>Нет</t>
        </is>
      </c>
      <c r="H41" s="3" t="inlineStr">
        <is>
          <t>₽/ед.</t>
        </is>
      </c>
      <c r="I41" s="3" t="inlineStr">
        <is>
          <t>Формула</t>
        </is>
      </c>
      <c r="J41" s="3" t="inlineStr">
        <is>
          <t>Сумма стоимости сырья с учётом нормы вовлечени и потерь</t>
        </is>
      </c>
      <c r="K41" s="3" t="inlineStr">
        <is>
          <t>Только расчёт</t>
        </is>
      </c>
      <c r="L41" s="3" t="inlineStr">
        <is>
          <t>Часть BOM_COST_PER_UNIT</t>
        </is>
      </c>
    </row>
    <row r="42" ht="24" customHeight="1" s="16">
      <c r="A42" s="3" t="inlineStr">
        <is>
          <t>BOM_COST_PER_UNIT</t>
        </is>
      </c>
      <c r="B42" s="3" t="inlineStr">
        <is>
          <t>Себестоимость упаковки (ING_TYPE) на 1 ед.</t>
        </is>
      </c>
      <c r="C42" s="7" t="inlineStr">
        <is>
          <t>MVP</t>
        </is>
      </c>
      <c r="D42" s="3" t="inlineStr">
        <is>
          <t>ProjectSKU</t>
        </is>
      </c>
      <c r="E42" s="3" t="inlineStr">
        <is>
          <t>SKU</t>
        </is>
      </c>
      <c r="F42" s="3" t="inlineStr">
        <is>
          <t>Расчёт</t>
        </is>
      </c>
      <c r="G42" s="8" t="inlineStr">
        <is>
          <t>Нет</t>
        </is>
      </c>
      <c r="H42" s="3" t="inlineStr">
        <is>
          <t>₽/ед.</t>
        </is>
      </c>
      <c r="I42" s="3" t="inlineStr">
        <is>
          <t>Формула</t>
        </is>
      </c>
      <c r="J42" s="3" t="inlineStr">
        <is>
          <t>Сумма стоимости упаковки с учётом нормы вовлечени и потерь</t>
        </is>
      </c>
      <c r="K42" s="3" t="inlineStr">
        <is>
          <t>Только расчёт</t>
        </is>
      </c>
      <c r="L42" s="3" t="inlineStr">
        <is>
          <t>Часть BOM_COST_PER_UNIT</t>
        </is>
      </c>
    </row>
    <row r="43" ht="24" customHeight="1" s="16">
      <c r="A43" s="3" t="inlineStr">
        <is>
          <t>BOM_COST_PER_UNIT</t>
        </is>
      </c>
      <c r="B43" s="3" t="inlineStr">
        <is>
          <t>Себестоимость BOM (Сырье + Упаковка) на 1 ед.</t>
        </is>
      </c>
      <c r="C43" s="7" t="inlineStr">
        <is>
          <t>MVP</t>
        </is>
      </c>
      <c r="D43" s="3" t="inlineStr">
        <is>
          <t>ProjectSKU</t>
        </is>
      </c>
      <c r="E43" s="3" t="inlineStr">
        <is>
          <t>SKU</t>
        </is>
      </c>
      <c r="F43" s="3" t="inlineStr">
        <is>
          <t>Расчёт</t>
        </is>
      </c>
      <c r="G43" s="8" t="inlineStr">
        <is>
          <t>Нет</t>
        </is>
      </c>
      <c r="H43" s="3" t="inlineStr">
        <is>
          <t>₽/ед.</t>
        </is>
      </c>
      <c r="I43" s="3" t="inlineStr">
        <is>
          <t>Формула</t>
        </is>
      </c>
      <c r="J43" s="3" t="inlineStr">
        <is>
          <t>Сумма стоимости ингредиентов с учётом нормы вовлечени и потерь</t>
        </is>
      </c>
      <c r="K43" s="3" t="inlineStr">
        <is>
          <t>Только расчёт</t>
        </is>
      </c>
      <c r="L43" s="3" t="inlineStr">
        <is>
          <t>Часть COGS</t>
        </is>
      </c>
    </row>
    <row r="44" ht="24" customHeight="1" s="16">
      <c r="A44" s="27" t="inlineStr">
        <is>
          <t>Каналы / дистрибуция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 ht="30" customHeight="1" s="16">
      <c r="A45" s="1" t="inlineStr">
        <is>
          <t>Код переменной</t>
        </is>
      </c>
      <c r="B45" s="1" t="inlineStr">
        <is>
          <t>Название / смысл</t>
        </is>
      </c>
      <c r="C45" s="1" t="inlineStr">
        <is>
          <t>MVP / Later</t>
        </is>
      </c>
      <c r="D45" s="1" t="inlineStr">
        <is>
          <t>Где живёт</t>
        </is>
      </c>
      <c r="E45" s="1" t="inlineStr">
        <is>
          <t>Уровень</t>
        </is>
      </c>
      <c r="F45" s="1" t="inlineStr">
        <is>
          <t>Тип</t>
        </is>
      </c>
      <c r="G45" s="1" t="inlineStr">
        <is>
          <t>Editable in UI</t>
        </is>
      </c>
      <c r="H45" s="1" t="inlineStr">
        <is>
          <t>Ед. изм.</t>
        </is>
      </c>
      <c r="I45" s="1" t="inlineStr">
        <is>
          <t>Источник</t>
        </is>
      </c>
      <c r="J45" s="1" t="inlineStr">
        <is>
          <t>Формула / логика</t>
        </is>
      </c>
      <c r="K45" s="1" t="inlineStr">
        <is>
          <t>Принцип ввода / редактирования</t>
        </is>
      </c>
      <c r="L45" s="1" t="inlineStr">
        <is>
          <t>Описание / комментарий</t>
        </is>
      </c>
    </row>
    <row r="46" ht="24" customHeight="1" s="16">
      <c r="A46" s="2" t="inlineStr">
        <is>
          <t>CHANNEL_ID</t>
        </is>
      </c>
      <c r="B46" s="2" t="inlineStr">
        <is>
          <t>Идентификатор канала</t>
        </is>
      </c>
      <c r="C46" s="5" t="inlineStr">
        <is>
          <t>MVP</t>
        </is>
      </c>
      <c r="D46" s="2" t="inlineStr">
        <is>
          <t>ProjectSKUChannel</t>
        </is>
      </c>
      <c r="E46" s="2" t="inlineStr">
        <is>
          <t>Канал</t>
        </is>
      </c>
      <c r="F46" s="2" t="inlineStr">
        <is>
          <t>Справочник</t>
        </is>
      </c>
      <c r="G46" s="2" t="inlineStr">
        <is>
          <t>Да</t>
        </is>
      </c>
      <c r="H46" s="2" t="inlineStr">
        <is>
          <t>код</t>
        </is>
      </c>
      <c r="I46" s="2" t="inlineStr">
        <is>
          <t>Справочник каналов</t>
        </is>
      </c>
      <c r="J46" s="3" t="inlineStr">
        <is>
          <t>—</t>
        </is>
      </c>
      <c r="K46" s="2" t="inlineStr">
        <is>
          <t>Выбор канала</t>
        </is>
      </c>
      <c r="L46" s="2" t="inlineStr">
        <is>
          <t>Канал — готовая аналитическая сущность</t>
        </is>
      </c>
    </row>
    <row r="47" ht="24" customHeight="1" s="16">
      <c r="A47" s="2" t="inlineStr">
        <is>
          <t>CHANNEL_NAME</t>
        </is>
      </c>
      <c r="B47" s="2" t="inlineStr">
        <is>
          <t>Название канала</t>
        </is>
      </c>
      <c r="C47" s="5" t="inlineStr">
        <is>
          <t>MVP</t>
        </is>
      </c>
      <c r="D47" s="2" t="inlineStr">
        <is>
          <t>ProjectSKUChannel</t>
        </is>
      </c>
      <c r="E47" s="2" t="inlineStr">
        <is>
          <t>Канал</t>
        </is>
      </c>
      <c r="F47" s="2" t="inlineStr">
        <is>
          <t>Справочник</t>
        </is>
      </c>
      <c r="G47" s="6" t="inlineStr">
        <is>
          <t>Нет</t>
        </is>
      </c>
      <c r="H47" s="2" t="inlineStr">
        <is>
          <t>текст</t>
        </is>
      </c>
      <c r="I47" s="2" t="inlineStr">
        <is>
          <t>Справочник каналов</t>
        </is>
      </c>
      <c r="J47" s="3" t="inlineStr">
        <is>
          <t>—</t>
        </is>
      </c>
      <c r="K47" s="2" t="inlineStr">
        <is>
          <t>Автозаполнение</t>
        </is>
      </c>
      <c r="L47" s="2" t="inlineStr">
        <is>
          <t>Может включать регион в названии</t>
        </is>
      </c>
    </row>
    <row r="48" ht="24" customHeight="1" s="16">
      <c r="A48" s="2" t="inlineStr">
        <is>
          <t>UNIVERSE_OUTLETS</t>
        </is>
      </c>
      <c r="B48" s="2" t="inlineStr">
        <is>
          <t>Вселенная точек канала</t>
        </is>
      </c>
      <c r="C48" s="5" t="inlineStr">
        <is>
          <t>MVP</t>
        </is>
      </c>
      <c r="D48" s="2" t="inlineStr">
        <is>
          <t>ProjectSKUChannel</t>
        </is>
      </c>
      <c r="E48" s="2" t="inlineStr">
        <is>
          <t>Канал</t>
        </is>
      </c>
      <c r="F48" s="2" t="inlineStr">
        <is>
          <t>Справочник / ввод</t>
        </is>
      </c>
      <c r="G48" s="2" t="inlineStr">
        <is>
          <t>Да</t>
        </is>
      </c>
      <c r="H48" s="2" t="inlineStr">
        <is>
          <t>точек</t>
        </is>
      </c>
      <c r="I48" s="2" t="inlineStr">
        <is>
          <t>Справочник / пользователь</t>
        </is>
      </c>
      <c r="J48" s="3" t="inlineStr">
        <is>
          <t>Используется в расчёте ACTIVE_OUTLETS</t>
        </is>
      </c>
      <c r="K48" s="2" t="inlineStr">
        <is>
          <t>Можно загрузить или задать вручную</t>
        </is>
      </c>
      <c r="L48" s="2" t="inlineStr">
        <is>
          <t>База торговых точек по каналу</t>
        </is>
      </c>
    </row>
    <row r="49" ht="24" customHeight="1" s="16">
      <c r="A49" s="2" t="inlineStr">
        <is>
          <t>OUTLETS_COUNT</t>
        </is>
      </c>
      <c r="B49" s="2" t="inlineStr">
        <is>
          <t>Активные торговые точки</t>
        </is>
      </c>
      <c r="C49" s="5" t="inlineStr">
        <is>
          <t>MVP</t>
        </is>
      </c>
      <c r="D49" s="2" t="inlineStr">
        <is>
          <t>PeriodValue</t>
        </is>
      </c>
      <c r="E49" s="2" t="inlineStr">
        <is>
          <t>SKU × канал × период</t>
        </is>
      </c>
      <c r="F49" s="2" t="inlineStr">
        <is>
          <t>Ввод / расчёт</t>
        </is>
      </c>
      <c r="G49" s="2" t="inlineStr">
        <is>
          <t>Да</t>
        </is>
      </c>
      <c r="H49" s="2" t="inlineStr">
        <is>
          <t>точек</t>
        </is>
      </c>
      <c r="I49" s="2" t="inlineStr">
        <is>
          <t>Пользователь / формула</t>
        </is>
      </c>
      <c r="J49" s="3" t="inlineStr">
        <is>
          <t>Если введено вручную — берётся как есть; иначе ACTIVE_OUTLETS = UNIVERSE_OUTLETS × ND_PLAN</t>
        </is>
      </c>
      <c r="K49" s="2" t="inlineStr">
        <is>
          <t>Можно вручную или от ND</t>
        </is>
      </c>
      <c r="L49" s="2" t="inlineStr">
        <is>
          <t>Ключевой драйвер объёма</t>
        </is>
      </c>
    </row>
    <row r="50" ht="24" customHeight="1" s="16">
      <c r="A50" s="2" t="inlineStr">
        <is>
          <t>ND_BENCH</t>
        </is>
      </c>
      <c r="B50" s="2" t="inlineStr">
        <is>
          <t>Бенчмарк ND</t>
        </is>
      </c>
      <c r="C50" s="5" t="inlineStr">
        <is>
          <t>MVP</t>
        </is>
      </c>
      <c r="D50" s="2" t="inlineStr">
        <is>
          <t>Benchmark</t>
        </is>
      </c>
      <c r="E50" s="2" t="inlineStr">
        <is>
          <t>Категория × канал × период</t>
        </is>
      </c>
      <c r="F50" s="2" t="inlineStr">
        <is>
          <t>Ввод</t>
        </is>
      </c>
      <c r="G50" s="6" t="inlineStr">
        <is>
          <t>Нет</t>
        </is>
      </c>
      <c r="H50" s="2" t="inlineStr">
        <is>
          <t>%</t>
        </is>
      </c>
      <c r="I50" s="2" t="inlineStr">
        <is>
          <t>Пользователь</t>
        </is>
      </c>
      <c r="J50" s="3" t="inlineStr">
        <is>
          <t>База для ND_PLAN</t>
        </is>
      </c>
      <c r="K50" s="2" t="inlineStr">
        <is>
          <t>Можно вручную или от ND</t>
        </is>
      </c>
      <c r="L50" s="2" t="inlineStr">
        <is>
          <t>Ключевой драйвер объёма</t>
        </is>
      </c>
    </row>
    <row r="51" ht="24" customHeight="1" s="16">
      <c r="A51" s="2" t="inlineStr">
        <is>
          <t>ND_FACTOR</t>
        </is>
      </c>
      <c r="B51" s="2" t="inlineStr">
        <is>
          <t>Отклонение ND от бенчмарка</t>
        </is>
      </c>
      <c r="C51" s="5" t="inlineStr">
        <is>
          <t>MVP</t>
        </is>
      </c>
      <c r="D51" s="2" t="inlineStr">
        <is>
          <t>ProjectSKUChannel</t>
        </is>
      </c>
      <c r="E51" s="2" t="inlineStr">
        <is>
          <t>SKU × канал</t>
        </is>
      </c>
      <c r="F51" s="2" t="inlineStr">
        <is>
          <t>Ввод</t>
        </is>
      </c>
      <c r="G51" s="2" t="inlineStr">
        <is>
          <t>Да</t>
        </is>
      </c>
      <c r="H51" s="2" t="inlineStr">
        <is>
          <t>%</t>
        </is>
      </c>
      <c r="I51" s="2" t="inlineStr">
        <is>
          <t>Пользователь</t>
        </is>
      </c>
      <c r="J51" s="3" t="inlineStr">
        <is>
          <t>ND_PLAN = ND_BENCH × (1 + ND_FACTOR)</t>
        </is>
      </c>
      <c r="K51" s="2" t="inlineStr">
        <is>
          <t>Ручной ввод коэффициента</t>
        </is>
      </c>
      <c r="L51" s="2" t="inlineStr">
        <is>
          <t>Быстрый тюнинг ND</t>
        </is>
      </c>
    </row>
    <row r="52" ht="24" customHeight="1" s="16">
      <c r="A52" s="2" t="inlineStr">
        <is>
          <t>ND_PLAN</t>
        </is>
      </c>
      <c r="B52" s="2" t="inlineStr">
        <is>
          <t>Плановый ND</t>
        </is>
      </c>
      <c r="C52" s="5" t="inlineStr">
        <is>
          <t>MVP</t>
        </is>
      </c>
      <c r="D52" s="2" t="inlineStr">
        <is>
          <t>PeriodValue</t>
        </is>
      </c>
      <c r="E52" s="2" t="inlineStr">
        <is>
          <t>SKU × канал × период</t>
        </is>
      </c>
      <c r="F52" s="2" t="inlineStr">
        <is>
          <t>Ввод / расчёт</t>
        </is>
      </c>
      <c r="G52" s="2" t="inlineStr">
        <is>
          <t>Да</t>
        </is>
      </c>
      <c r="H52" s="2" t="inlineStr">
        <is>
          <t>%</t>
        </is>
      </c>
      <c r="I52" s="2" t="inlineStr">
        <is>
          <t>Пользователь / формула</t>
        </is>
      </c>
      <c r="J52" s="3" t="inlineStr">
        <is>
          <t>Если нет ручного ввода: ND_PLAN = ND_BENCH × (1 + ND_FACTOR)</t>
        </is>
      </c>
      <c r="K52" s="2" t="inlineStr">
        <is>
          <t>M1–M36 monthly, Y4–Y10 yearly</t>
        </is>
      </c>
      <c r="L52" s="2" t="inlineStr">
        <is>
          <t>Для года берётся крайний период</t>
        </is>
      </c>
    </row>
    <row r="53" ht="24" customHeight="1" s="16">
      <c r="A53" s="2" t="inlineStr">
        <is>
          <t>OFFTAKE_BENCH</t>
        </is>
      </c>
      <c r="B53" s="2" t="inlineStr">
        <is>
          <t>Бенчмарк off-take</t>
        </is>
      </c>
      <c r="C53" s="5" t="inlineStr">
        <is>
          <t>MVP</t>
        </is>
      </c>
      <c r="D53" s="2" t="inlineStr">
        <is>
          <t>Benchmark</t>
        </is>
      </c>
      <c r="E53" s="2" t="inlineStr">
        <is>
          <t>Категория × канал × период</t>
        </is>
      </c>
      <c r="F53" s="2" t="inlineStr">
        <is>
          <t>Ввод</t>
        </is>
      </c>
      <c r="G53" s="6" t="inlineStr">
        <is>
          <t>Нет</t>
        </is>
      </c>
      <c r="H53" s="2" t="inlineStr">
        <is>
          <t>упак./точка/период</t>
        </is>
      </c>
      <c r="I53" s="2" t="inlineStr">
        <is>
          <t>Пользователь</t>
        </is>
      </c>
      <c r="J53" s="3" t="inlineStr">
        <is>
          <t>База для OFFTAKE_PLAN</t>
        </is>
      </c>
      <c r="K53" s="2" t="inlineStr">
        <is>
          <t>Ручной ввод коэффициента</t>
        </is>
      </c>
      <c r="L53" s="2" t="inlineStr">
        <is>
          <t>Быстрый тюнинг off-take</t>
        </is>
      </c>
    </row>
    <row r="54" ht="24" customHeight="1" s="16">
      <c r="A54" s="2" t="inlineStr">
        <is>
          <t>OFFTAKE_FACTOR</t>
        </is>
      </c>
      <c r="B54" s="2" t="inlineStr">
        <is>
          <t>Отклонение off-take от бенчмарка</t>
        </is>
      </c>
      <c r="C54" s="5" t="inlineStr">
        <is>
          <t>MVP</t>
        </is>
      </c>
      <c r="D54" s="2" t="inlineStr">
        <is>
          <t>ProjectSKUChannel</t>
        </is>
      </c>
      <c r="E54" s="2" t="inlineStr">
        <is>
          <t>SKU × канал</t>
        </is>
      </c>
      <c r="F54" s="2" t="inlineStr">
        <is>
          <t>Ввод</t>
        </is>
      </c>
      <c r="G54" s="2" t="inlineStr">
        <is>
          <t>Да</t>
        </is>
      </c>
      <c r="H54" s="2" t="inlineStr">
        <is>
          <t>%</t>
        </is>
      </c>
      <c r="I54" s="2" t="inlineStr">
        <is>
          <t>Пользователь</t>
        </is>
      </c>
      <c r="J54" s="3" t="inlineStr">
        <is>
          <t>OFFTAKE_PLAN = OFFTAKE_BENCH × (1 + OFFTAKE_FACTOR)</t>
        </is>
      </c>
      <c r="K54" s="2" t="inlineStr">
        <is>
          <t>Ручной ввод коэффициента</t>
        </is>
      </c>
      <c r="L54" s="2" t="inlineStr">
        <is>
          <t>Быстрый тюнинг off-take</t>
        </is>
      </c>
    </row>
    <row r="55" ht="24" customHeight="1" s="16">
      <c r="A55" s="2" t="inlineStr">
        <is>
          <t>OFFTAKE_PLAN</t>
        </is>
      </c>
      <c r="B55" s="2" t="inlineStr">
        <is>
          <t>Плановый off-take</t>
        </is>
      </c>
      <c r="C55" s="5" t="inlineStr">
        <is>
          <t>MVP</t>
        </is>
      </c>
      <c r="D55" s="2" t="inlineStr">
        <is>
          <t>PeriodValue</t>
        </is>
      </c>
      <c r="E55" s="2" t="inlineStr">
        <is>
          <t>SKU × канал × период</t>
        </is>
      </c>
      <c r="F55" s="2" t="inlineStr">
        <is>
          <t>Ввод / расчёт</t>
        </is>
      </c>
      <c r="G55" s="2" t="inlineStr">
        <is>
          <t>Да</t>
        </is>
      </c>
      <c r="H55" s="2" t="inlineStr">
        <is>
          <t>упак./точка/период</t>
        </is>
      </c>
      <c r="I55" s="2" t="inlineStr">
        <is>
          <t>Пользователь / формула</t>
        </is>
      </c>
      <c r="J55" s="3" t="inlineStr">
        <is>
          <t>Если нет ручного ввода: OFFTAKE_PLAN = OFFTAKE_BENCH × (1 + OFFTAKE_FACTOR)</t>
        </is>
      </c>
      <c r="K55" s="2" t="inlineStr">
        <is>
          <t>M1–M36 monthly, Y4–Y10 yearly</t>
        </is>
      </c>
      <c r="L55" s="2" t="inlineStr">
        <is>
          <t>Для года берётся крайний период</t>
        </is>
      </c>
    </row>
    <row r="56" ht="24" customHeight="1" s="16">
      <c r="A56" s="2" t="inlineStr">
        <is>
          <t>SEASONALITY_PROFILE</t>
        </is>
      </c>
      <c r="B56" s="2" t="inlineStr">
        <is>
          <t>Профиль сезонности</t>
        </is>
      </c>
      <c r="C56" s="5" t="inlineStr">
        <is>
          <t>MVP</t>
        </is>
      </c>
      <c r="D56" s="2" t="inlineStr">
        <is>
          <t>ProjectSKU</t>
        </is>
      </c>
      <c r="E56" s="2" t="inlineStr">
        <is>
          <t>Категория / SKU</t>
        </is>
      </c>
      <c r="F56" s="2" t="inlineStr">
        <is>
          <t>Справочник / ввод</t>
        </is>
      </c>
      <c r="G56" s="2" t="inlineStr">
        <is>
          <t>Да</t>
        </is>
      </c>
      <c r="H56" s="2" t="inlineStr">
        <is>
          <t>код</t>
        </is>
      </c>
      <c r="I56" s="2" t="inlineStr">
        <is>
          <t>Справочник seasonality</t>
        </is>
      </c>
      <c r="J56" s="3" t="inlineStr">
        <is>
          <t>SEASONALITY_COEFF = lookup(profile, month)</t>
        </is>
      </c>
      <c r="K56" s="2" t="inlineStr">
        <is>
          <t>Выбор профиля</t>
        </is>
      </c>
      <c r="L56" s="2" t="inlineStr">
        <is>
          <t>Применяется только к M1–M36</t>
        </is>
      </c>
    </row>
    <row r="57" ht="24" customHeight="1" s="16">
      <c r="A57" s="3" t="inlineStr">
        <is>
          <t>SEASONALITY_COEFF</t>
        </is>
      </c>
      <c r="B57" s="3" t="inlineStr">
        <is>
          <t>Коэффициент сезонности</t>
        </is>
      </c>
      <c r="C57" s="7" t="inlineStr">
        <is>
          <t>MVP</t>
        </is>
      </c>
      <c r="D57" s="3" t="inlineStr">
        <is>
          <t>PeriodValue</t>
        </is>
      </c>
      <c r="E57" s="3" t="inlineStr">
        <is>
          <t>SKU × канал × период</t>
        </is>
      </c>
      <c r="F57" s="3" t="inlineStr">
        <is>
          <t>Расчёт</t>
        </is>
      </c>
      <c r="G57" s="8" t="inlineStr">
        <is>
          <t>Нет</t>
        </is>
      </c>
      <c r="H57" s="3" t="inlineStr">
        <is>
          <t>коэф.</t>
        </is>
      </c>
      <c r="I57" s="3" t="inlineStr">
        <is>
          <t>Справочник / формула</t>
        </is>
      </c>
      <c r="J57" s="3" t="inlineStr">
        <is>
          <t>Для M1–M36 из профиля, для Y4–Y10 = 1</t>
        </is>
      </c>
      <c r="K57" s="3" t="inlineStr">
        <is>
          <t>Только расчёт</t>
        </is>
      </c>
      <c r="L57" s="3" t="inlineStr">
        <is>
          <t>Влияет на объём</t>
        </is>
      </c>
    </row>
    <row r="58" ht="24" customHeight="1" s="16">
      <c r="A58" s="27" t="inlineStr">
        <is>
          <t>Цены и revenue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 ht="30" customHeight="1" s="16">
      <c r="A59" s="1" t="inlineStr">
        <is>
          <t>Код переменной</t>
        </is>
      </c>
      <c r="B59" s="1" t="inlineStr">
        <is>
          <t>Название / смысл</t>
        </is>
      </c>
      <c r="C59" s="1" t="inlineStr">
        <is>
          <t>MVP / Later</t>
        </is>
      </c>
      <c r="D59" s="1" t="inlineStr">
        <is>
          <t>Где живёт</t>
        </is>
      </c>
      <c r="E59" s="1" t="inlineStr">
        <is>
          <t>Уровень</t>
        </is>
      </c>
      <c r="F59" s="1" t="inlineStr">
        <is>
          <t>Тип</t>
        </is>
      </c>
      <c r="G59" s="1" t="inlineStr">
        <is>
          <t>Editable in UI</t>
        </is>
      </c>
      <c r="H59" s="1" t="inlineStr">
        <is>
          <t>Ед. изм.</t>
        </is>
      </c>
      <c r="I59" s="1" t="inlineStr">
        <is>
          <t>Источник</t>
        </is>
      </c>
      <c r="J59" s="1" t="inlineStr">
        <is>
          <t>Формула / логика</t>
        </is>
      </c>
      <c r="K59" s="1" t="inlineStr">
        <is>
          <t>Принцип ввода / редактирования</t>
        </is>
      </c>
      <c r="L59" s="1" t="inlineStr">
        <is>
          <t>Описание / комментарий</t>
        </is>
      </c>
    </row>
    <row r="60" ht="24" customHeight="1" s="16">
      <c r="A60" s="2" t="inlineStr">
        <is>
          <t>SHELF_PRICE_REG</t>
        </is>
      </c>
      <c r="B60" s="2" t="inlineStr">
        <is>
          <t>Полочная цена regular, с НДС</t>
        </is>
      </c>
      <c r="C60" s="5" t="inlineStr">
        <is>
          <t>MVP</t>
        </is>
      </c>
      <c r="D60" s="2" t="inlineStr">
        <is>
          <t>PeriodValue</t>
        </is>
      </c>
      <c r="E60" s="2" t="inlineStr">
        <is>
          <t>SKU × канал × период</t>
        </is>
      </c>
      <c r="F60" s="2" t="inlineStr">
        <is>
          <t>Ввод / справочник</t>
        </is>
      </c>
      <c r="G60" s="2" t="inlineStr">
        <is>
          <t>Да</t>
        </is>
      </c>
      <c r="H60" s="2" t="inlineStr">
        <is>
          <t>₽/ед.</t>
        </is>
      </c>
      <c r="I60" s="2" t="inlineStr">
        <is>
          <t>Пользователь</t>
        </is>
      </c>
      <c r="J60" s="3" t="inlineStr">
        <is>
          <t>Базовая цена проекта</t>
        </is>
      </c>
      <c r="K60" s="2" t="inlineStr">
        <is>
          <t>Ручной ввод; может индексироваться инфляцией</t>
        </is>
      </c>
      <c r="L60" s="2" t="inlineStr">
        <is>
          <t>Ключевой ценовой драйвер</t>
        </is>
      </c>
    </row>
    <row r="61" ht="24" customHeight="1" s="16">
      <c r="A61" s="2" t="inlineStr">
        <is>
          <t>PROMO_DISCOUNT</t>
        </is>
      </c>
      <c r="B61" s="2" t="inlineStr">
        <is>
          <t>Промо-скидка</t>
        </is>
      </c>
      <c r="C61" s="5" t="inlineStr">
        <is>
          <t>MVP</t>
        </is>
      </c>
      <c r="D61" s="2" t="inlineStr">
        <is>
          <t>PeriodValue</t>
        </is>
      </c>
      <c r="E61" s="2" t="inlineStr">
        <is>
          <t>SKU × канал × период</t>
        </is>
      </c>
      <c r="F61" s="2" t="inlineStr">
        <is>
          <t>Ввод / справочник</t>
        </is>
      </c>
      <c r="G61" s="2" t="inlineStr">
        <is>
          <t>Да</t>
        </is>
      </c>
      <c r="H61" s="2" t="inlineStr">
        <is>
          <t>%</t>
        </is>
      </c>
      <c r="I61" s="2" t="inlineStr">
        <is>
          <t>Пользователь</t>
        </is>
      </c>
      <c r="J61" s="3" t="inlineStr">
        <is>
          <t>SHELF_PRICE_PROMO = SHELF_PRICE_REG × (1 − PROMO_DISCOUNT)</t>
        </is>
      </c>
      <c r="K61" s="2" t="inlineStr">
        <is>
          <t>Ручной ввод или дефолт 30%</t>
        </is>
      </c>
      <c r="L61" s="2" t="inlineStr">
        <is>
          <t>Влияет на промо-цену</t>
        </is>
      </c>
    </row>
    <row r="62" ht="24" customHeight="1" s="16">
      <c r="A62" s="2" t="inlineStr">
        <is>
          <t>PROMO_SHARE</t>
        </is>
      </c>
      <c r="B62" s="2" t="inlineStr">
        <is>
          <t>Доля промо-объёма</t>
        </is>
      </c>
      <c r="C62" s="5" t="inlineStr">
        <is>
          <t>MVP</t>
        </is>
      </c>
      <c r="D62" s="2" t="inlineStr">
        <is>
          <t>PeriodValue</t>
        </is>
      </c>
      <c r="E62" s="2" t="inlineStr">
        <is>
          <t>SKU × канал × период</t>
        </is>
      </c>
      <c r="F62" s="2" t="inlineStr">
        <is>
          <t>Ввод</t>
        </is>
      </c>
      <c r="G62" s="2" t="inlineStr">
        <is>
          <t>Да</t>
        </is>
      </c>
      <c r="H62" s="2" t="inlineStr">
        <is>
          <t>%</t>
        </is>
      </c>
      <c r="I62" s="2" t="inlineStr">
        <is>
          <t>Пользователь</t>
        </is>
      </c>
      <c r="J62" s="3" t="inlineStr">
        <is>
          <t>Используется в SHELF_PRICE_WEIGHTED</t>
        </is>
      </c>
      <c r="K62" s="2" t="inlineStr">
        <is>
          <t>Ручной ввод или дефолт 80%</t>
        </is>
      </c>
      <c r="L62" s="2" t="inlineStr">
        <is>
          <t>Отражает promo pressure</t>
        </is>
      </c>
    </row>
    <row r="63" ht="24" customHeight="1" s="16">
      <c r="A63" s="3" t="inlineStr">
        <is>
          <t>SHELF_PRICE_PROMO</t>
        </is>
      </c>
      <c r="B63" s="3" t="inlineStr">
        <is>
          <t>Полочная цена promo, с НДС</t>
        </is>
      </c>
      <c r="C63" s="7" t="inlineStr">
        <is>
          <t>MVP</t>
        </is>
      </c>
      <c r="D63" s="3" t="inlineStr">
        <is>
          <t>PeriodValue</t>
        </is>
      </c>
      <c r="E63" s="3" t="inlineStr">
        <is>
          <t>SKU × канал × период</t>
        </is>
      </c>
      <c r="F63" s="3" t="inlineStr">
        <is>
          <t>Расчёт</t>
        </is>
      </c>
      <c r="G63" s="8" t="inlineStr">
        <is>
          <t>Нет</t>
        </is>
      </c>
      <c r="H63" s="3" t="inlineStr">
        <is>
          <t>₽/ед.</t>
        </is>
      </c>
      <c r="I63" s="3" t="inlineStr">
        <is>
          <t>Формула</t>
        </is>
      </c>
      <c r="J63" s="3" t="inlineStr">
        <is>
          <t>SHELF_PRICE_PROMO = SHELF_PRICE_REG × (1 − PROMO_DISCOUNT)</t>
        </is>
      </c>
      <c r="K63" s="3" t="inlineStr">
        <is>
          <t>Только расчёт</t>
        </is>
      </c>
      <c r="L63" s="3" t="inlineStr">
        <is>
          <t>Промо-цена</t>
        </is>
      </c>
    </row>
    <row r="64" ht="24" customHeight="1" s="16">
      <c r="A64" s="3" t="inlineStr">
        <is>
          <t>SHELF_PRICE_WEIGHTED</t>
        </is>
      </c>
      <c r="B64" s="3" t="inlineStr">
        <is>
          <t>Средневзвешенная полочная цена</t>
        </is>
      </c>
      <c r="C64" s="7" t="inlineStr">
        <is>
          <t>MVP</t>
        </is>
      </c>
      <c r="D64" s="3" t="inlineStr">
        <is>
          <t>PeriodValue</t>
        </is>
      </c>
      <c r="E64" s="3" t="inlineStr">
        <is>
          <t>SKU × канал × период</t>
        </is>
      </c>
      <c r="F64" s="3" t="inlineStr">
        <is>
          <t>Расчёт</t>
        </is>
      </c>
      <c r="G64" s="8" t="inlineStr">
        <is>
          <t>Нет</t>
        </is>
      </c>
      <c r="H64" s="3" t="inlineStr">
        <is>
          <t>₽/ед.</t>
        </is>
      </c>
      <c r="I64" s="3" t="inlineStr">
        <is>
          <t>Формула</t>
        </is>
      </c>
      <c r="J64" s="3" t="inlineStr">
        <is>
          <t>SHELF_PRICE_WEIGHTED = SHELF_PRICE_REG × (1 − PROMO_SHARE) + SHELF_PRICE_PROMO × PROMO_SHARE</t>
        </is>
      </c>
      <c r="K64" s="3" t="inlineStr">
        <is>
          <t>Только расчёт</t>
        </is>
      </c>
      <c r="L64" s="3" t="inlineStr">
        <is>
          <t>Mix regular/promo</t>
        </is>
      </c>
    </row>
    <row r="65" ht="24" customHeight="1" s="16">
      <c r="A65" s="2" t="inlineStr">
        <is>
          <t>CHANNEL_MARGIN</t>
        </is>
      </c>
      <c r="B65" s="2" t="inlineStr">
        <is>
          <t>Канальная маржа</t>
        </is>
      </c>
      <c r="C65" s="5" t="inlineStr">
        <is>
          <t>MVP</t>
        </is>
      </c>
      <c r="D65" s="2" t="inlineStr">
        <is>
          <t>PeriodValue</t>
        </is>
      </c>
      <c r="E65" s="2" t="inlineStr">
        <is>
          <t>SKU × канал × период</t>
        </is>
      </c>
      <c r="F65" s="2" t="inlineStr">
        <is>
          <t>Ввод / справочник</t>
        </is>
      </c>
      <c r="G65" s="2" t="inlineStr">
        <is>
          <t>Да</t>
        </is>
      </c>
      <c r="H65" s="2" t="inlineStr">
        <is>
          <t>%</t>
        </is>
      </c>
      <c r="I65" s="2" t="inlineStr">
        <is>
          <t>пользователь / коммерция</t>
        </is>
      </c>
      <c r="J65" s="3" t="inlineStr">
        <is>
          <t>Используется в EX_FACTORY_PRICE</t>
        </is>
      </c>
      <c r="K65" s="2" t="inlineStr">
        <is>
          <t>Ручной ввод или дефолт 40%</t>
        </is>
      </c>
      <c r="L65" s="2" t="inlineStr">
        <is>
          <t>Маржа ритейла / канала</t>
        </is>
      </c>
    </row>
    <row r="66" ht="24" customHeight="1" s="16">
      <c r="A66" s="2" t="inlineStr">
        <is>
          <t>VAT_RATE</t>
        </is>
      </c>
      <c r="B66" s="2" t="inlineStr">
        <is>
          <t>Ставка НДС</t>
        </is>
      </c>
      <c r="C66" s="5" t="inlineStr">
        <is>
          <t>MVP</t>
        </is>
      </c>
      <c r="D66" s="2" t="inlineStr">
        <is>
          <t>Project</t>
        </is>
      </c>
      <c r="E66" s="2" t="inlineStr">
        <is>
          <t>Проект / канал / SKU</t>
        </is>
      </c>
      <c r="F66" s="2" t="inlineStr">
        <is>
          <t>Ввод / справочник</t>
        </is>
      </c>
      <c r="G66" s="2" t="inlineStr">
        <is>
          <t>Да</t>
        </is>
      </c>
      <c r="H66" s="2" t="inlineStr">
        <is>
          <t>%</t>
        </is>
      </c>
      <c r="I66" s="2" t="inlineStr">
        <is>
          <t xml:space="preserve">справочник / Финансы </t>
        </is>
      </c>
      <c r="J66" s="3" t="inlineStr">
        <is>
          <t>Используется в EX_FACTORY_PRICE</t>
        </is>
      </c>
      <c r="K66" s="2" t="inlineStr">
        <is>
          <t>Дефолт + ручная корректировка</t>
        </is>
      </c>
      <c r="L66" s="2" t="inlineStr">
        <is>
          <t>НДС исключается из полочной цены</t>
        </is>
      </c>
    </row>
    <row r="67" ht="24" customHeight="1" s="16">
      <c r="A67" s="3" t="inlineStr">
        <is>
          <t>EX_FACTORY_PRICE</t>
        </is>
      </c>
      <c r="B67" s="3" t="inlineStr">
        <is>
          <t>Цена отгрузки net ex-factory</t>
        </is>
      </c>
      <c r="C67" s="7" t="inlineStr">
        <is>
          <t>MVP</t>
        </is>
      </c>
      <c r="D67" s="3" t="inlineStr">
        <is>
          <t>PeriodValue</t>
        </is>
      </c>
      <c r="E67" s="3" t="inlineStr">
        <is>
          <t>SKU × канал × период</t>
        </is>
      </c>
      <c r="F67" s="3" t="inlineStr">
        <is>
          <t>Расчёт</t>
        </is>
      </c>
      <c r="G67" s="8" t="inlineStr">
        <is>
          <t>Нет</t>
        </is>
      </c>
      <c r="H67" s="3" t="inlineStr">
        <is>
          <t>₽/ед. без НДС</t>
        </is>
      </c>
      <c r="I67" s="3" t="inlineStr">
        <is>
          <t>Формула</t>
        </is>
      </c>
      <c r="J67" s="3" t="inlineStr">
        <is>
          <t>EX_FACTORY_PRICE = SHELF_PRICE_WEIGHTED × (1 − CHANNEL_MARGIN) × (1 − VAT_RATE)</t>
        </is>
      </c>
      <c r="K67" s="3" t="inlineStr">
        <is>
          <t>Только расчёт</t>
        </is>
      </c>
      <c r="L67" s="3" t="inlineStr">
        <is>
          <t>Цена для выручки</t>
        </is>
      </c>
    </row>
    <row r="68" ht="24" customHeight="1" s="16">
      <c r="A68" s="3" t="inlineStr">
        <is>
          <t>NET_REVENUE</t>
        </is>
      </c>
      <c r="B68" s="3" t="inlineStr">
        <is>
          <t>Выручка net sales</t>
        </is>
      </c>
      <c r="C68" s="7" t="inlineStr">
        <is>
          <t>MVP</t>
        </is>
      </c>
      <c r="D68" s="3" t="inlineStr">
        <is>
          <t>PeriodValue</t>
        </is>
      </c>
      <c r="E68" s="3" t="inlineStr">
        <is>
          <t>SKU × канал × период</t>
        </is>
      </c>
      <c r="F68" s="3" t="inlineStr">
        <is>
          <t>Расчёт</t>
        </is>
      </c>
      <c r="G68" s="8" t="inlineStr">
        <is>
          <t>Нет</t>
        </is>
      </c>
      <c r="H68" s="3" t="inlineStr">
        <is>
          <t>₽</t>
        </is>
      </c>
      <c r="I68" s="3" t="inlineStr">
        <is>
          <t>Формула</t>
        </is>
      </c>
      <c r="J68" s="3" t="inlineStr">
        <is>
          <t>NET_REVENUE = VOLUME_UNITS × EX_FACTORY_PRICE</t>
        </is>
      </c>
      <c r="K68" s="3" t="inlineStr">
        <is>
          <t>Только расчёт</t>
        </is>
      </c>
      <c r="L68" s="3" t="inlineStr">
        <is>
          <t>Базовый денежный показатель</t>
        </is>
      </c>
    </row>
    <row r="69" ht="24" customHeight="1" s="16">
      <c r="A69" s="3" t="inlineStr">
        <is>
          <t>NET_REVENUE_SHELF_PRICE_WEIGHTED</t>
        </is>
      </c>
      <c r="B69" s="3" t="inlineStr">
        <is>
          <t>Выручка в ценах полки с НДС</t>
        </is>
      </c>
      <c r="C69" s="7" t="inlineStr">
        <is>
          <t>MVP</t>
        </is>
      </c>
      <c r="D69" s="3" t="inlineStr">
        <is>
          <t>PeriodValue</t>
        </is>
      </c>
      <c r="E69" s="3" t="inlineStr">
        <is>
          <t>SKU × канал × период</t>
        </is>
      </c>
      <c r="F69" s="3" t="inlineStr">
        <is>
          <t>Расчёт</t>
        </is>
      </c>
      <c r="G69" s="8" t="inlineStr">
        <is>
          <t>Нет</t>
        </is>
      </c>
      <c r="H69" s="3" t="inlineStr">
        <is>
          <t>₽</t>
        </is>
      </c>
      <c r="I69" s="3" t="inlineStr">
        <is>
          <t>Формула</t>
        </is>
      </c>
      <c r="J69" s="3" t="inlineStr">
        <is>
          <t>NET_REVENUE = VOLUME_UNITS × SHELF_PRICE_WEIGHTED</t>
        </is>
      </c>
      <c r="K69" s="3" t="inlineStr">
        <is>
          <t>Только расчёт</t>
        </is>
      </c>
      <c r="L69" s="3" t="inlineStr">
        <is>
          <t>Дополнительный денежный показатель для целей сравнения с рынком</t>
        </is>
      </c>
    </row>
    <row r="70" ht="24" customHeight="1" s="16">
      <c r="A70" s="27" t="inlineStr">
        <is>
          <t>Объёмы продаж</t>
        </is>
      </c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 ht="30" customHeight="1" s="16">
      <c r="A71" s="1" t="inlineStr">
        <is>
          <t>Код переменной</t>
        </is>
      </c>
      <c r="B71" s="1" t="inlineStr">
        <is>
          <t>Название / смысл</t>
        </is>
      </c>
      <c r="C71" s="1" t="inlineStr">
        <is>
          <t>MVP / Later</t>
        </is>
      </c>
      <c r="D71" s="1" t="inlineStr">
        <is>
          <t>Где живёт</t>
        </is>
      </c>
      <c r="E71" s="1" t="inlineStr">
        <is>
          <t>Уровень</t>
        </is>
      </c>
      <c r="F71" s="1" t="inlineStr">
        <is>
          <t>Тип</t>
        </is>
      </c>
      <c r="G71" s="1" t="inlineStr">
        <is>
          <t>Editable in UI</t>
        </is>
      </c>
      <c r="H71" s="1" t="inlineStr">
        <is>
          <t>Ед. изм.</t>
        </is>
      </c>
      <c r="I71" s="1" t="inlineStr">
        <is>
          <t>Источник</t>
        </is>
      </c>
      <c r="J71" s="1" t="inlineStr">
        <is>
          <t>Формула / логика</t>
        </is>
      </c>
      <c r="K71" s="1" t="inlineStr">
        <is>
          <t>Принцип ввода / редактирования</t>
        </is>
      </c>
      <c r="L71" s="1" t="inlineStr">
        <is>
          <t>Описание / комментарий</t>
        </is>
      </c>
    </row>
    <row r="72" ht="24" customHeight="1" s="16">
      <c r="A72" s="3" t="inlineStr">
        <is>
          <t>VOLUME_UNITS</t>
        </is>
      </c>
      <c r="B72" s="3" t="inlineStr">
        <is>
          <t>Объём продаж, шт.</t>
        </is>
      </c>
      <c r="C72" s="7" t="inlineStr">
        <is>
          <t>MVP</t>
        </is>
      </c>
      <c r="D72" s="3" t="inlineStr">
        <is>
          <t>PeriodValue</t>
        </is>
      </c>
      <c r="E72" s="3" t="inlineStr">
        <is>
          <t>SKU × канал × период</t>
        </is>
      </c>
      <c r="F72" s="3" t="inlineStr">
        <is>
          <t>Расчёт</t>
        </is>
      </c>
      <c r="G72" s="8" t="inlineStr">
        <is>
          <t>Нет</t>
        </is>
      </c>
      <c r="H72" s="3" t="inlineStr">
        <is>
          <t>упак.</t>
        </is>
      </c>
      <c r="I72" s="3" t="inlineStr">
        <is>
          <t>Формула</t>
        </is>
      </c>
      <c r="J72" s="3" t="inlineStr">
        <is>
          <t>VOLUME_UNITS = ACTIVE_OUTLETS × OFFTAKE_PLAN × SEASONALITY_COEFF</t>
        </is>
      </c>
      <c r="K72" s="3" t="inlineStr">
        <is>
          <t>Только расчёт</t>
        </is>
      </c>
      <c r="L72" s="3" t="inlineStr">
        <is>
          <t>ACTIVE_OUTLETS определяется из OUTLETS_COUNT либо ND</t>
        </is>
      </c>
    </row>
    <row r="73" ht="24" customHeight="1" s="16">
      <c r="A73" s="3" t="inlineStr">
        <is>
          <t>VOLUME_LITERS</t>
        </is>
      </c>
      <c r="B73" s="3" t="inlineStr">
        <is>
          <t>Объём продаж, л / кг</t>
        </is>
      </c>
      <c r="C73" s="7" t="inlineStr">
        <is>
          <t>MVP</t>
        </is>
      </c>
      <c r="D73" s="3" t="inlineStr">
        <is>
          <t>PeriodValue</t>
        </is>
      </c>
      <c r="E73" s="3" t="inlineStr">
        <is>
          <t>SKU × канал × период</t>
        </is>
      </c>
      <c r="F73" s="3" t="inlineStr">
        <is>
          <t>Расчёт</t>
        </is>
      </c>
      <c r="G73" s="8" t="inlineStr">
        <is>
          <t>Нет</t>
        </is>
      </c>
      <c r="H73" s="3" t="inlineStr">
        <is>
          <t>л / кг</t>
        </is>
      </c>
      <c r="I73" s="3" t="inlineStr">
        <is>
          <t>Формула</t>
        </is>
      </c>
      <c r="J73" s="3" t="inlineStr">
        <is>
          <t>VOLUME_LITERS = VOLUME_UNITS × NET_CONTENT_COEFF</t>
        </is>
      </c>
      <c r="K73" s="3" t="inlineStr">
        <is>
          <t>Только расчёт</t>
        </is>
      </c>
      <c r="L73" s="3" t="inlineStr">
        <is>
          <t>Физический объём</t>
        </is>
      </c>
    </row>
    <row r="74" ht="24" customHeight="1" s="16">
      <c r="A74" s="3" t="inlineStr">
        <is>
          <t>VOLUME_TOTAL</t>
        </is>
      </c>
      <c r="B74" s="3" t="inlineStr">
        <is>
          <t>Суммарный объём по SKU</t>
        </is>
      </c>
      <c r="C74" s="7" t="inlineStr">
        <is>
          <t>MVP</t>
        </is>
      </c>
      <c r="D74" s="3" t="inlineStr">
        <is>
          <t>Aggregate</t>
        </is>
      </c>
      <c r="E74" s="3" t="inlineStr">
        <is>
          <t>SKU × период</t>
        </is>
      </c>
      <c r="F74" s="3" t="inlineStr">
        <is>
          <t>Расчёт</t>
        </is>
      </c>
      <c r="G74" s="8" t="inlineStr">
        <is>
          <t>Нет</t>
        </is>
      </c>
      <c r="H74" s="3" t="inlineStr">
        <is>
          <t>упак. / л</t>
        </is>
      </c>
      <c r="I74" s="3" t="inlineStr">
        <is>
          <t>Формула</t>
        </is>
      </c>
      <c r="J74" s="3" t="inlineStr">
        <is>
          <t>Сумма по каналам</t>
        </is>
      </c>
      <c r="K74" s="3" t="inlineStr">
        <is>
          <t>Только расчёт</t>
        </is>
      </c>
      <c r="L74" s="3" t="inlineStr">
        <is>
          <t>Агрегация по SKU</t>
        </is>
      </c>
    </row>
    <row r="75" ht="24" customHeight="1" s="16">
      <c r="A75" s="3" t="inlineStr">
        <is>
          <t>VOLUME_PROJECT</t>
        </is>
      </c>
      <c r="B75" s="3" t="inlineStr">
        <is>
          <t>Суммарный объём по проекту</t>
        </is>
      </c>
      <c r="C75" s="7" t="inlineStr">
        <is>
          <t>MVP</t>
        </is>
      </c>
      <c r="D75" s="3" t="inlineStr">
        <is>
          <t>Aggregate</t>
        </is>
      </c>
      <c r="E75" s="3" t="inlineStr">
        <is>
          <t>Проект × период</t>
        </is>
      </c>
      <c r="F75" s="3" t="inlineStr">
        <is>
          <t>Расчёт</t>
        </is>
      </c>
      <c r="G75" s="8" t="inlineStr">
        <is>
          <t>Нет</t>
        </is>
      </c>
      <c r="H75" s="3" t="inlineStr">
        <is>
          <t>упак. / л</t>
        </is>
      </c>
      <c r="I75" s="3" t="inlineStr">
        <is>
          <t>Формула</t>
        </is>
      </c>
      <c r="J75" s="3" t="inlineStr">
        <is>
          <t>Сумма по SKU</t>
        </is>
      </c>
      <c r="K75" s="3" t="inlineStr">
        <is>
          <t>Только расчёт</t>
        </is>
      </c>
      <c r="L75" s="3" t="inlineStr">
        <is>
          <t>Агрегация по проекту</t>
        </is>
      </c>
    </row>
    <row r="76" ht="24" customHeight="1" s="16">
      <c r="A76" s="27" t="inlineStr">
        <is>
          <t>Затраты</t>
        </is>
      </c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 ht="30" customHeight="1" s="16">
      <c r="A77" s="1" t="inlineStr">
        <is>
          <t>Код переменной</t>
        </is>
      </c>
      <c r="B77" s="1" t="inlineStr">
        <is>
          <t>Название / смысл</t>
        </is>
      </c>
      <c r="C77" s="1" t="inlineStr">
        <is>
          <t>MVP / Later</t>
        </is>
      </c>
      <c r="D77" s="1" t="inlineStr">
        <is>
          <t>Где живёт</t>
        </is>
      </c>
      <c r="E77" s="1" t="inlineStr">
        <is>
          <t>Уровень</t>
        </is>
      </c>
      <c r="F77" s="1" t="inlineStr">
        <is>
          <t>Тип</t>
        </is>
      </c>
      <c r="G77" s="1" t="inlineStr">
        <is>
          <t>Editable in UI</t>
        </is>
      </c>
      <c r="H77" s="1" t="inlineStr">
        <is>
          <t>Ед. изм.</t>
        </is>
      </c>
      <c r="I77" s="1" t="inlineStr">
        <is>
          <t>Источник</t>
        </is>
      </c>
      <c r="J77" s="1" t="inlineStr">
        <is>
          <t>Формула / логика</t>
        </is>
      </c>
      <c r="K77" s="1" t="inlineStr">
        <is>
          <t>Принцип ввода / редактирования</t>
        </is>
      </c>
      <c r="L77" s="1" t="inlineStr">
        <is>
          <t>Описание / комментарий</t>
        </is>
      </c>
    </row>
    <row r="78" ht="25.5" customHeight="1" s="16">
      <c r="A78" s="2" t="inlineStr">
        <is>
          <t xml:space="preserve">LOGISTICS_COST_PER_LITERS </t>
        </is>
      </c>
      <c r="B78" s="2" t="inlineStr">
        <is>
          <t>Логистика на 1 ед.</t>
        </is>
      </c>
      <c r="C78" s="5" t="inlineStr">
        <is>
          <t>MVP</t>
        </is>
      </c>
      <c r="D78" s="2" t="inlineStr">
        <is>
          <t>ProjectSKUChannel</t>
        </is>
      </c>
      <c r="E78" s="2" t="inlineStr">
        <is>
          <t>SKU × канал</t>
        </is>
      </c>
      <c r="F78" s="2" t="inlineStr">
        <is>
          <t>Ввод</t>
        </is>
      </c>
      <c r="G78" s="2" t="inlineStr">
        <is>
          <t>Да</t>
        </is>
      </c>
      <c r="H78" s="2" t="inlineStr">
        <is>
          <t>₽/ед.</t>
        </is>
      </c>
      <c r="I78" s="2" t="inlineStr">
        <is>
          <t>Пользователь / логистика</t>
        </is>
      </c>
      <c r="J78" s="3" t="inlineStr">
        <is>
          <t>значение в рублях за 1 литр перевезенной продукции</t>
        </is>
      </c>
      <c r="K78" s="2" t="inlineStr">
        <is>
          <t>Ручной ввод</t>
        </is>
      </c>
      <c r="L78" s="2" t="inlineStr">
        <is>
          <t>Может различаться по каналам</t>
        </is>
      </c>
    </row>
    <row r="79" ht="25.5" customHeight="1" s="16">
      <c r="A79" s="2" t="inlineStr">
        <is>
          <t>LOGISTICS_COST</t>
        </is>
      </c>
      <c r="B79" s="2" t="inlineStr">
        <is>
          <t>Сумма логистических затрат</t>
        </is>
      </c>
      <c r="C79" s="5" t="inlineStr">
        <is>
          <t>MVP</t>
        </is>
      </c>
      <c r="D79" s="2" t="inlineStr">
        <is>
          <t>ProjectSKUChannel</t>
        </is>
      </c>
      <c r="E79" s="3" t="inlineStr">
        <is>
          <t>SKU × канал × период</t>
        </is>
      </c>
      <c r="F79" s="3" t="inlineStr">
        <is>
          <t>Расчёт</t>
        </is>
      </c>
      <c r="G79" s="8" t="inlineStr">
        <is>
          <t>Нет</t>
        </is>
      </c>
      <c r="H79" s="2" t="inlineStr">
        <is>
          <t>₽/ед.</t>
        </is>
      </c>
      <c r="I79" s="2" t="inlineStr">
        <is>
          <t>Пользователь / логистика</t>
        </is>
      </c>
      <c r="J79" s="3" t="inlineStr">
        <is>
          <t xml:space="preserve">LOGISTICS_COST = LOGISTICS_COST_PER_UNIT *  VOLUME_LITERS </t>
        </is>
      </c>
      <c r="K79" s="3" t="inlineStr">
        <is>
          <t>Только расчёт</t>
        </is>
      </c>
      <c r="L79" s="2" t="inlineStr">
        <is>
          <t>Может различаться по каналам</t>
        </is>
      </c>
    </row>
    <row r="80" ht="25.5" customHeight="1" s="16">
      <c r="A80" s="2" t="inlineStr">
        <is>
          <t>MARKETING_COST_PER_UNIT</t>
        </is>
      </c>
      <c r="B80" s="2" t="inlineStr">
        <is>
          <t>Переменный маркетинг на 1 ед.</t>
        </is>
      </c>
      <c r="C80" s="5" t="inlineStr">
        <is>
          <t>MVP</t>
        </is>
      </c>
      <c r="D80" s="2" t="inlineStr">
        <is>
          <t>ProjectSKUChannel</t>
        </is>
      </c>
      <c r="E80" s="2" t="inlineStr">
        <is>
          <t>SKU × канал</t>
        </is>
      </c>
      <c r="F80" s="2" t="inlineStr">
        <is>
          <t>Ввод</t>
        </is>
      </c>
      <c r="G80" s="2" t="inlineStr">
        <is>
          <t>Да</t>
        </is>
      </c>
      <c r="H80" s="2" t="inlineStr">
        <is>
          <t>%</t>
        </is>
      </c>
      <c r="I80" s="2" t="inlineStr">
        <is>
          <t>Пользователь / маркетинг</t>
        </is>
      </c>
      <c r="J80" s="3" t="inlineStr">
        <is>
          <t>значение в % от выручки в ценах отгрузки без НДС</t>
        </is>
      </c>
      <c r="K80" s="2" t="inlineStr">
        <is>
          <t>Ручной ввод</t>
        </is>
      </c>
      <c r="L80" s="2" t="inlineStr">
        <is>
          <t>Зависит от выручки</t>
        </is>
      </c>
    </row>
    <row r="81" ht="38.25" customHeight="1" s="16">
      <c r="A81" s="2" t="inlineStr">
        <is>
          <t>MARKETING_COST</t>
        </is>
      </c>
      <c r="B81" s="2" t="inlineStr">
        <is>
          <t>Переменный маркетинг на 1 ед.</t>
        </is>
      </c>
      <c r="C81" s="5" t="inlineStr">
        <is>
          <t>MVP</t>
        </is>
      </c>
      <c r="D81" s="2" t="inlineStr">
        <is>
          <t>ProjectSKUChannel</t>
        </is>
      </c>
      <c r="E81" s="2" t="inlineStr">
        <is>
          <t>SKU × канал</t>
        </is>
      </c>
      <c r="F81" s="2" t="inlineStr">
        <is>
          <t>Ввод</t>
        </is>
      </c>
      <c r="G81" s="2" t="inlineStr">
        <is>
          <t>Да</t>
        </is>
      </c>
      <c r="H81" s="2" t="inlineStr">
        <is>
          <t>₽/ед.</t>
        </is>
      </c>
      <c r="I81" s="2" t="inlineStr">
        <is>
          <t>Пользователь / маркетинг</t>
        </is>
      </c>
      <c r="J81" s="3" t="inlineStr">
        <is>
          <t>VARIABLE_MARKETING_COST = VARIABLE_MARKETING_PER_UNIT  * NET_REVENUE_EX_FACTORY_PRICE</t>
        </is>
      </c>
      <c r="K81" s="2" t="inlineStr">
        <is>
          <t>Ручной ввод</t>
        </is>
      </c>
      <c r="L81" s="2" t="inlineStr">
        <is>
          <t>Зависит от выручки</t>
        </is>
      </c>
    </row>
    <row r="82" ht="24" customHeight="1" s="16">
      <c r="A82" s="3" t="inlineStr">
        <is>
          <t>СAMC_PER_UNIT</t>
        </is>
      </c>
      <c r="B82" s="3" t="inlineStr">
        <is>
          <t>Значение адменистративных расходов</t>
        </is>
      </c>
      <c r="C82" s="7" t="inlineStr">
        <is>
          <t>MVP</t>
        </is>
      </c>
      <c r="D82" s="3" t="inlineStr">
        <is>
          <t>ProjectSKU</t>
        </is>
      </c>
      <c r="E82" s="3" t="inlineStr">
        <is>
          <t>SKU</t>
        </is>
      </c>
      <c r="F82" s="3" t="inlineStr">
        <is>
          <t>Расчёт</t>
        </is>
      </c>
      <c r="G82" s="8" t="inlineStr">
        <is>
          <t>Нет</t>
        </is>
      </c>
      <c r="H82" s="3" t="inlineStr">
        <is>
          <t>%</t>
        </is>
      </c>
      <c r="I82" s="2" t="inlineStr">
        <is>
          <t>Пользователь / коммерция</t>
        </is>
      </c>
      <c r="J82" s="3" t="inlineStr">
        <is>
          <t>значение в % от выручки в ценах отгрузки без НДС</t>
        </is>
      </c>
      <c r="K82" s="2" t="inlineStr">
        <is>
          <t>Ручной ввод</t>
        </is>
      </c>
      <c r="L82" s="2" t="inlineStr">
        <is>
          <t>Зависит от выручки, Может различаться по каналам</t>
        </is>
      </c>
    </row>
    <row r="83" ht="24" customHeight="1" s="16">
      <c r="A83" s="3" t="inlineStr">
        <is>
          <t>СAMC_PER_COST</t>
        </is>
      </c>
      <c r="B83" s="3" t="inlineStr">
        <is>
          <t>Полная себестоимость продукции</t>
        </is>
      </c>
      <c r="C83" s="7" t="inlineStr">
        <is>
          <t>MVP</t>
        </is>
      </c>
      <c r="D83" s="3" t="inlineStr">
        <is>
          <t>ProjectSKU</t>
        </is>
      </c>
      <c r="E83" s="3" t="inlineStr">
        <is>
          <t>SKU</t>
        </is>
      </c>
      <c r="F83" s="3" t="inlineStr">
        <is>
          <t>Расчёт</t>
        </is>
      </c>
      <c r="G83" s="8" t="inlineStr">
        <is>
          <t>Нет</t>
        </is>
      </c>
      <c r="H83" s="3" t="inlineStr">
        <is>
          <t>₽/ед.</t>
        </is>
      </c>
      <c r="I83" s="3" t="inlineStr">
        <is>
          <t>Формула</t>
        </is>
      </c>
      <c r="J83" s="3" t="inlineStr">
        <is>
          <t>СAMC_PER_COST = СAMC_PER_UNIT * VOLUME_UNITS</t>
        </is>
      </c>
      <c r="K83" s="3" t="inlineStr">
        <is>
          <t>Только расчёт</t>
        </is>
      </c>
      <c r="L83" s="2" t="inlineStr">
        <is>
          <t>Зависит от выручки, Может различаться по каналам</t>
        </is>
      </c>
    </row>
    <row r="84" ht="24" customHeight="1" s="16">
      <c r="A84" s="3" t="inlineStr">
        <is>
          <t>PRODUCTION_COST_PER_UNIT</t>
        </is>
      </c>
      <c r="B84" s="3" t="inlineStr">
        <is>
          <t>Производственные затраты на собственном произвосдтве</t>
        </is>
      </c>
      <c r="C84" s="7" t="inlineStr">
        <is>
          <t>MVP</t>
        </is>
      </c>
      <c r="D84" s="3" t="inlineStr">
        <is>
          <t>ProjectSKU</t>
        </is>
      </c>
      <c r="E84" s="3" t="inlineStr">
        <is>
          <t>SKU</t>
        </is>
      </c>
      <c r="F84" s="3" t="inlineStr">
        <is>
          <t>Расчёт</t>
        </is>
      </c>
      <c r="G84" s="8" t="inlineStr">
        <is>
          <t>Нет</t>
        </is>
      </c>
      <c r="H84" s="3" t="inlineStr">
        <is>
          <t>%</t>
        </is>
      </c>
      <c r="I84" s="2" t="inlineStr">
        <is>
          <t>Пользователь / коммерция</t>
        </is>
      </c>
      <c r="J84" s="3" t="inlineStr">
        <is>
          <t>значение в % от выручки в ценах отгрузки без НДС</t>
        </is>
      </c>
      <c r="K84" s="2" t="inlineStr">
        <is>
          <t>Ручной ввод</t>
        </is>
      </c>
      <c r="L84" s="2" t="inlineStr">
        <is>
          <t>Зависит от выручки. Не может быть установлен одновременно с COPAKER_COST</t>
        </is>
      </c>
    </row>
    <row r="85" ht="24.75" customHeight="1" s="16">
      <c r="A85" s="3" t="inlineStr">
        <is>
          <t>PRODUCTION_COST</t>
        </is>
      </c>
      <c r="B85" s="3" t="inlineStr">
        <is>
          <t>Сумма производственных затрат</t>
        </is>
      </c>
      <c r="C85" s="7" t="inlineStr">
        <is>
          <t>MVP</t>
        </is>
      </c>
      <c r="D85" s="3" t="inlineStr">
        <is>
          <t>ProjectSKU</t>
        </is>
      </c>
      <c r="E85" s="3" t="inlineStr">
        <is>
          <t>SKU</t>
        </is>
      </c>
      <c r="F85" s="3" t="inlineStr">
        <is>
          <t>Расчёт</t>
        </is>
      </c>
      <c r="G85" s="8" t="inlineStr">
        <is>
          <t>Нет</t>
        </is>
      </c>
      <c r="H85" s="3" t="inlineStr">
        <is>
          <t>₽/ед.</t>
        </is>
      </c>
      <c r="I85" s="3" t="inlineStr">
        <is>
          <t>Формула</t>
        </is>
      </c>
      <c r="J85" s="3" t="inlineStr">
        <is>
          <t>PRODUCTION_COST = PRODUCTION_COST_PER_UNIT *  VOLUME_UNITS</t>
        </is>
      </c>
      <c r="K85" s="3" t="inlineStr">
        <is>
          <t>Только расчёт</t>
        </is>
      </c>
      <c r="L85" s="2" t="inlineStr">
        <is>
          <t>Зависит от выручки. Не может быть установлен одновременно с COPAKER_COST</t>
        </is>
      </c>
    </row>
    <row r="86" ht="25.5" customHeight="1" s="16">
      <c r="A86" s="3" t="inlineStr">
        <is>
          <t>COPAKER_COST_PER_UNIT</t>
        </is>
      </c>
      <c r="B86" s="3" t="inlineStr">
        <is>
          <t>Производственные затраты при производстве на копакинге</t>
        </is>
      </c>
      <c r="C86" s="7" t="inlineStr">
        <is>
          <t>MVP</t>
        </is>
      </c>
      <c r="D86" s="3" t="inlineStr">
        <is>
          <t>ProjectSKU</t>
        </is>
      </c>
      <c r="E86" s="3" t="inlineStr">
        <is>
          <t>SKU</t>
        </is>
      </c>
      <c r="F86" s="3" t="inlineStr">
        <is>
          <t>Расчёт</t>
        </is>
      </c>
      <c r="G86" s="8" t="inlineStr">
        <is>
          <t>Нет</t>
        </is>
      </c>
      <c r="H86" s="2" t="inlineStr">
        <is>
          <t>₽/ед.</t>
        </is>
      </c>
      <c r="I86" s="2" t="inlineStr">
        <is>
          <t>Пользователь / маркетинг</t>
        </is>
      </c>
      <c r="J86" s="3" t="inlineStr">
        <is>
          <t>Ставка в рублях без НДС за единицу выпущенной на копакинге продукции</t>
        </is>
      </c>
      <c r="K86" s="2" t="inlineStr">
        <is>
          <t>Ручной ввод</t>
        </is>
      </c>
      <c r="L86" s="2" t="inlineStr">
        <is>
          <t>Зависит от выручки. Не может быть установлен одновременно с PRODUCTION_COST</t>
        </is>
      </c>
    </row>
    <row r="87" ht="24" customHeight="1" s="16">
      <c r="A87" s="3" t="inlineStr">
        <is>
          <t>COPAKER_COST</t>
        </is>
      </c>
      <c r="B87" s="3" t="inlineStr">
        <is>
          <t>Итого затвраты на производство на копакере</t>
        </is>
      </c>
      <c r="C87" s="7" t="inlineStr">
        <is>
          <t>MVP</t>
        </is>
      </c>
      <c r="D87" s="3" t="inlineStr">
        <is>
          <t>ProjectSKU</t>
        </is>
      </c>
      <c r="E87" s="3" t="inlineStr">
        <is>
          <t>SKU</t>
        </is>
      </c>
      <c r="F87" s="3" t="inlineStr">
        <is>
          <t>Расчёт</t>
        </is>
      </c>
      <c r="G87" s="8" t="inlineStr">
        <is>
          <t>Нет</t>
        </is>
      </c>
      <c r="H87" s="3" t="inlineStr">
        <is>
          <t>₽/ед.</t>
        </is>
      </c>
      <c r="I87" s="3" t="inlineStr">
        <is>
          <t>Формула</t>
        </is>
      </c>
      <c r="J87" s="3" t="inlineStr">
        <is>
          <t>COPAKER_COST = COPAKER_COST_PER_UNIT *  VOLUME_UNITS</t>
        </is>
      </c>
      <c r="K87" s="3" t="inlineStr">
        <is>
          <t>Только расчёт</t>
        </is>
      </c>
      <c r="L87" s="2" t="inlineStr">
        <is>
          <t>Зависит от выручки. Не может быть установлен одновременно с PRODUCTION_COST</t>
        </is>
      </c>
    </row>
    <row r="88" ht="24" customHeight="1" s="16">
      <c r="A88" s="3" t="inlineStr">
        <is>
          <t>BOM_COST</t>
        </is>
      </c>
      <c r="B88" s="3" t="inlineStr">
        <is>
          <t>Сумма себестоимости произведенной продукции</t>
        </is>
      </c>
      <c r="C88" s="7" t="n"/>
      <c r="D88" s="3" t="n"/>
      <c r="E88" s="3" t="n"/>
      <c r="F88" s="3" t="n"/>
      <c r="G88" s="8" t="n"/>
      <c r="H88" s="3" t="n"/>
      <c r="I88" s="3" t="n"/>
      <c r="J88" s="3" t="inlineStr">
        <is>
          <t>BOM_COST = BOM_COST_PER_UNIT * VOLUME_UNITS</t>
        </is>
      </c>
      <c r="K88" s="2" t="inlineStr">
        <is>
          <t>Ручной ввод</t>
        </is>
      </c>
      <c r="L88" s="3" t="inlineStr">
        <is>
          <t>Полная себестоимость сырьевая и материальная</t>
        </is>
      </c>
    </row>
    <row r="89" ht="24" customHeight="1" s="16">
      <c r="A89" s="3" t="inlineStr">
        <is>
          <t>COGS_TOTAL</t>
        </is>
      </c>
      <c r="B89" s="3" t="inlineStr">
        <is>
          <t>Это все затраты на производство с учетом сырья и материалов (BOM)</t>
        </is>
      </c>
      <c r="C89" s="7" t="inlineStr">
        <is>
          <t>MVP</t>
        </is>
      </c>
      <c r="D89" s="3" t="inlineStr">
        <is>
          <t>PeriodValue</t>
        </is>
      </c>
      <c r="E89" s="3" t="inlineStr">
        <is>
          <t>SKU × канал × период</t>
        </is>
      </c>
      <c r="F89" s="3" t="inlineStr">
        <is>
          <t>Расчёт</t>
        </is>
      </c>
      <c r="G89" s="8" t="inlineStr">
        <is>
          <t>Нет</t>
        </is>
      </c>
      <c r="H89" s="3" t="inlineStr">
        <is>
          <t>₽</t>
        </is>
      </c>
      <c r="I89" s="3" t="inlineStr">
        <is>
          <t>Формула</t>
        </is>
      </c>
      <c r="J89" s="3" t="inlineStr">
        <is>
          <t>COGS_TOTAL = BOM_COST + PRODUCTION_COST + COPAKER_COST</t>
        </is>
      </c>
      <c r="K89" s="3" t="inlineStr">
        <is>
          <t>Только расчёт</t>
        </is>
      </c>
      <c r="L89" s="3" t="inlineStr">
        <is>
          <t>Полная производственная себестоимость</t>
        </is>
      </c>
    </row>
    <row r="90" ht="24" customHeight="1" s="16">
      <c r="A90" s="28" t="inlineStr">
        <is>
          <t>OPEX - зявазаны на объем NER_REVENU, Лождаться на проект, распределяются через рубль выручки</t>
        </is>
      </c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 ht="30" customHeight="1" s="16">
      <c r="A91" s="1" t="inlineStr">
        <is>
          <t>Код переменной</t>
        </is>
      </c>
      <c r="B91" s="1" t="inlineStr">
        <is>
          <t>Название / смысл</t>
        </is>
      </c>
      <c r="C91" s="1" t="inlineStr">
        <is>
          <t>MVP / Later</t>
        </is>
      </c>
      <c r="D91" s="1" t="inlineStr">
        <is>
          <t>Где живёт</t>
        </is>
      </c>
      <c r="E91" s="1" t="inlineStr">
        <is>
          <t>Уровень</t>
        </is>
      </c>
      <c r="F91" s="1" t="inlineStr">
        <is>
          <t>Тип</t>
        </is>
      </c>
      <c r="G91" s="1" t="inlineStr">
        <is>
          <t>Editable in UI</t>
        </is>
      </c>
      <c r="H91" s="1" t="inlineStr">
        <is>
          <t>Ед. изм.</t>
        </is>
      </c>
      <c r="I91" s="1" t="inlineStr">
        <is>
          <t>Источник</t>
        </is>
      </c>
      <c r="J91" s="1" t="inlineStr">
        <is>
          <t>Формула / логика</t>
        </is>
      </c>
      <c r="K91" s="1" t="inlineStr">
        <is>
          <t>Принцип ввода / редактирования</t>
        </is>
      </c>
      <c r="L91" s="1" t="inlineStr">
        <is>
          <t>Описание / комментарий</t>
        </is>
      </c>
    </row>
    <row r="92" ht="38.25" customHeight="1" s="16">
      <c r="A92" s="2" t="inlineStr">
        <is>
          <t>TRADE_MARKETING</t>
        </is>
      </c>
      <c r="B92" s="2" t="inlineStr">
        <is>
          <t>Трейд-маркетинг</t>
        </is>
      </c>
      <c r="C92" s="5" t="inlineStr">
        <is>
          <t>MVP</t>
        </is>
      </c>
      <c r="D92" s="2" t="inlineStr">
        <is>
          <t>PeriodValue</t>
        </is>
      </c>
      <c r="E92" s="2" t="inlineStr">
        <is>
          <t>Проект × канал × период</t>
        </is>
      </c>
      <c r="F92" s="2" t="inlineStr">
        <is>
          <t>Ввод</t>
        </is>
      </c>
      <c r="G92" s="2" t="inlineStr">
        <is>
          <t>Да</t>
        </is>
      </c>
      <c r="H92" s="2" t="inlineStr">
        <is>
          <t>₽ или %</t>
        </is>
      </c>
      <c r="I92" s="2" t="inlineStr">
        <is>
          <t>Пользователь</t>
        </is>
      </c>
      <c r="J92" s="3" t="inlineStr">
        <is>
          <t>Если ввод в %: TRADE_MARKETING = NET_REVENUE × rate. Если ввода нет задается через справочник BUBGET</t>
        </is>
      </c>
      <c r="K92" s="2" t="inlineStr">
        <is>
          <t>Можно в % или абсолютом</t>
        </is>
      </c>
      <c r="L92" s="2" t="inlineStr">
        <is>
          <t>Канально-привязанный OPEX</t>
        </is>
      </c>
    </row>
    <row r="93" ht="38.25" customHeight="1" s="16">
      <c r="A93" s="2" t="inlineStr">
        <is>
          <t>CONSUMER_MARKETING</t>
        </is>
      </c>
      <c r="B93" s="2" t="inlineStr">
        <is>
          <t>ATL/BTL маркетинг</t>
        </is>
      </c>
      <c r="C93" s="5" t="inlineStr">
        <is>
          <t>MVP</t>
        </is>
      </c>
      <c r="D93" s="2" t="inlineStr">
        <is>
          <t>PeriodValue</t>
        </is>
      </c>
      <c r="E93" s="2" t="inlineStr">
        <is>
          <t>Проект × период</t>
        </is>
      </c>
      <c r="F93" s="2" t="inlineStr">
        <is>
          <t>Ввод</t>
        </is>
      </c>
      <c r="G93" s="2" t="inlineStr">
        <is>
          <t>Да</t>
        </is>
      </c>
      <c r="H93" s="2" t="inlineStr">
        <is>
          <t>₽ или %</t>
        </is>
      </c>
      <c r="I93" s="2" t="inlineStr">
        <is>
          <t>Пользователь</t>
        </is>
      </c>
      <c r="J93" s="3" t="inlineStr">
        <is>
          <t>Если ввод в %: CONSUMER_MARKETING  = NET_REVENUE × rate. Если ввода нет задается через справочник BUBGET</t>
        </is>
      </c>
      <c r="K93" s="2" t="inlineStr">
        <is>
          <t>Ручной ввод по периодам</t>
        </is>
      </c>
      <c r="L93" s="2" t="inlineStr">
        <is>
          <t>Launch-heavy в ранних периодах</t>
        </is>
      </c>
    </row>
    <row r="94" ht="38.25" customHeight="1" s="16">
      <c r="A94" s="2" t="inlineStr">
        <is>
          <t>SALES_EXPENSES</t>
        </is>
      </c>
      <c r="B94" s="2" t="inlineStr">
        <is>
          <t>Продажные затраты</t>
        </is>
      </c>
      <c r="C94" s="5" t="inlineStr">
        <is>
          <t>MVP</t>
        </is>
      </c>
      <c r="D94" s="2" t="inlineStr">
        <is>
          <t>PeriodValue</t>
        </is>
      </c>
      <c r="E94" s="2" t="inlineStr">
        <is>
          <t>Проект × период</t>
        </is>
      </c>
      <c r="F94" s="2" t="inlineStr">
        <is>
          <t>Ввод</t>
        </is>
      </c>
      <c r="G94" s="2" t="inlineStr">
        <is>
          <t>Да</t>
        </is>
      </c>
      <c r="H94" s="2" t="inlineStr">
        <is>
          <t>₽ или %</t>
        </is>
      </c>
      <c r="I94" s="2" t="inlineStr">
        <is>
          <t>Пользователь</t>
        </is>
      </c>
      <c r="J94" s="3" t="inlineStr">
        <is>
          <t>Если ввод в %: SALES_EXPENSES = NET_REVENUE × rate/ Если ввода нет задается через справочник BUBGET</t>
        </is>
      </c>
      <c r="K94" s="2" t="inlineStr">
        <is>
          <t>Ручной ввод</t>
        </is>
      </c>
      <c r="L94" s="2" t="inlineStr">
        <is>
          <t>Коммерческие расходы</t>
        </is>
      </c>
    </row>
    <row r="95" ht="51" customHeight="1" s="16">
      <c r="A95" s="3" t="inlineStr">
        <is>
          <t>VARIABLE_OPEX</t>
        </is>
      </c>
      <c r="B95" s="3" t="inlineStr">
        <is>
          <t>Переменные / прямые OPEX</t>
        </is>
      </c>
      <c r="C95" s="7" t="inlineStr">
        <is>
          <t>MVP</t>
        </is>
      </c>
      <c r="D95" s="3" t="inlineStr">
        <is>
          <t>PeriodValue</t>
        </is>
      </c>
      <c r="E95" s="3" t="inlineStr">
        <is>
          <t>Проект × период</t>
        </is>
      </c>
      <c r="F95" s="3" t="inlineStr">
        <is>
          <t>Расчёт</t>
        </is>
      </c>
      <c r="G95" s="8" t="inlineStr">
        <is>
          <t>Нет</t>
        </is>
      </c>
      <c r="H95" s="3" t="inlineStr">
        <is>
          <t>₽</t>
        </is>
      </c>
      <c r="I95" s="3" t="inlineStr">
        <is>
          <t>Формула</t>
        </is>
      </c>
      <c r="J95" s="3" t="inlineStr">
        <is>
          <t>Опексовых расходов (TRADE_MARKETING,CONSUMER_MARKETING, SALES_EXPENSES)  распределяются пропорционально выручке SKU-канал</t>
        </is>
      </c>
      <c r="K95" s="3" t="inlineStr">
        <is>
          <t>Только расчёт</t>
        </is>
      </c>
      <c r="L95" s="3" t="inlineStr">
        <is>
          <t>Используется в contribution</t>
        </is>
      </c>
    </row>
    <row r="96" ht="24" customHeight="1" s="16">
      <c r="A96" s="28" t="inlineStr">
        <is>
          <t>CAPEX и разовые, могут случаться после начала проекта</t>
        </is>
      </c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 ht="30" customHeight="1" s="16">
      <c r="A97" s="1" t="inlineStr">
        <is>
          <t>Код переменной</t>
        </is>
      </c>
      <c r="B97" s="1" t="inlineStr">
        <is>
          <t>Название / смысл</t>
        </is>
      </c>
      <c r="C97" s="1" t="inlineStr">
        <is>
          <t>MVP / Later</t>
        </is>
      </c>
      <c r="D97" s="1" t="inlineStr">
        <is>
          <t>Где живёт</t>
        </is>
      </c>
      <c r="E97" s="1" t="inlineStr">
        <is>
          <t>Уровень</t>
        </is>
      </c>
      <c r="F97" s="1" t="inlineStr">
        <is>
          <t>Тип</t>
        </is>
      </c>
      <c r="G97" s="1" t="inlineStr">
        <is>
          <t>Editable in UI</t>
        </is>
      </c>
      <c r="H97" s="1" t="inlineStr">
        <is>
          <t>Ед. изм.</t>
        </is>
      </c>
      <c r="I97" s="1" t="inlineStr">
        <is>
          <t>Источник</t>
        </is>
      </c>
      <c r="J97" s="1" t="inlineStr">
        <is>
          <t>Формула / логика</t>
        </is>
      </c>
      <c r="K97" s="1" t="inlineStr">
        <is>
          <t>Принцип ввода / редактирования</t>
        </is>
      </c>
      <c r="L97" s="1" t="inlineStr">
        <is>
          <t>Описание / комментарий</t>
        </is>
      </c>
    </row>
    <row r="98" ht="24" customHeight="1" s="16">
      <c r="A98" s="2" t="inlineStr">
        <is>
          <t>CAPEX_TOTAL</t>
        </is>
      </c>
      <c r="B98" s="2" t="inlineStr">
        <is>
          <t>Совокупный CAPEX</t>
        </is>
      </c>
      <c r="C98" s="5" t="inlineStr">
        <is>
          <t>MVP</t>
        </is>
      </c>
      <c r="D98" s="2" t="inlineStr">
        <is>
          <t>PeriodValue</t>
        </is>
      </c>
      <c r="E98" s="2" t="inlineStr">
        <is>
          <t>Проект × период</t>
        </is>
      </c>
      <c r="F98" s="2" t="inlineStr">
        <is>
          <t>Ввод</t>
        </is>
      </c>
      <c r="G98" s="2" t="inlineStr">
        <is>
          <t>Да</t>
        </is>
      </c>
      <c r="H98" s="2" t="inlineStr">
        <is>
          <t>₽</t>
        </is>
      </c>
      <c r="I98" s="2" t="inlineStr">
        <is>
          <t>Пользователь</t>
        </is>
      </c>
      <c r="J98" s="3" t="inlineStr">
        <is>
          <t>—</t>
        </is>
      </c>
      <c r="K98" s="2" t="inlineStr">
        <is>
          <t>Ручной ввод по периодам</t>
        </is>
      </c>
      <c r="L98" s="2" t="inlineStr">
        <is>
          <t>Инвестиционный поток</t>
        </is>
      </c>
    </row>
    <row r="99" ht="24" customHeight="1" s="16">
      <c r="A99" s="2" t="inlineStr">
        <is>
          <t>CAPEX_CATEGORY</t>
        </is>
      </c>
      <c r="B99" s="2" t="inlineStr">
        <is>
          <t>Категория CAPEX</t>
        </is>
      </c>
      <c r="C99" s="5" t="inlineStr">
        <is>
          <t>MVP</t>
        </is>
      </c>
      <c r="D99" s="2" t="inlineStr">
        <is>
          <t>CapexItem</t>
        </is>
      </c>
      <c r="E99" s="2" t="inlineStr">
        <is>
          <t>CAPEX item</t>
        </is>
      </c>
      <c r="F99" s="2" t="inlineStr">
        <is>
          <t>Ввод / справочник</t>
        </is>
      </c>
      <c r="G99" s="2" t="inlineStr">
        <is>
          <t>Да</t>
        </is>
      </c>
      <c r="H99" s="2" t="inlineStr">
        <is>
          <t>текст</t>
        </is>
      </c>
      <c r="I99" s="2" t="inlineStr">
        <is>
          <t>Пользователь</t>
        </is>
      </c>
      <c r="J99" s="3" t="inlineStr">
        <is>
          <t>—</t>
        </is>
      </c>
      <c r="K99" s="2" t="inlineStr">
        <is>
          <t>Необязательная детализация</t>
        </is>
      </c>
      <c r="L99" s="2" t="inlineStr">
        <is>
          <t>Оборудование / формы / IT и др.</t>
        </is>
      </c>
    </row>
    <row r="100" ht="24" customHeight="1" s="16">
      <c r="A100" s="27" t="inlineStr">
        <is>
          <t>Финансовые результаты и KPI</t>
        </is>
      </c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 ht="30" customHeight="1" s="16">
      <c r="A101" s="1" t="inlineStr">
        <is>
          <t>Код переменной</t>
        </is>
      </c>
      <c r="B101" s="1" t="inlineStr">
        <is>
          <t>Название / смысл</t>
        </is>
      </c>
      <c r="C101" s="1" t="inlineStr">
        <is>
          <t>MVP / Later</t>
        </is>
      </c>
      <c r="D101" s="1" t="inlineStr">
        <is>
          <t>Где живёт</t>
        </is>
      </c>
      <c r="E101" s="1" t="inlineStr">
        <is>
          <t>Уровень</t>
        </is>
      </c>
      <c r="F101" s="1" t="inlineStr">
        <is>
          <t>Тип</t>
        </is>
      </c>
      <c r="G101" s="1" t="inlineStr">
        <is>
          <t>Editable in UI</t>
        </is>
      </c>
      <c r="H101" s="1" t="inlineStr">
        <is>
          <t>Ед. изм.</t>
        </is>
      </c>
      <c r="I101" s="1" t="inlineStr">
        <is>
          <t>Источник</t>
        </is>
      </c>
      <c r="J101" s="1" t="inlineStr">
        <is>
          <t>Формула / логика</t>
        </is>
      </c>
      <c r="K101" s="1" t="inlineStr">
        <is>
          <t>Принцип ввода / редактирования</t>
        </is>
      </c>
      <c r="L101" s="1" t="inlineStr">
        <is>
          <t>Описание / комментарий</t>
        </is>
      </c>
    </row>
    <row r="102" ht="24" customHeight="1" s="16">
      <c r="A102" s="3" t="inlineStr">
        <is>
          <t>GROSS_PROFIT</t>
        </is>
      </c>
      <c r="B102" s="3" t="inlineStr">
        <is>
          <t>Валовая прибыль</t>
        </is>
      </c>
      <c r="C102" s="7" t="inlineStr">
        <is>
          <t>MVP</t>
        </is>
      </c>
      <c r="D102" s="3" t="inlineStr">
        <is>
          <t>Aggregate</t>
        </is>
      </c>
      <c r="E102" s="3" t="inlineStr">
        <is>
          <t>Проект × период</t>
        </is>
      </c>
      <c r="F102" s="3" t="inlineStr">
        <is>
          <t>Расчёт</t>
        </is>
      </c>
      <c r="G102" s="8" t="inlineStr">
        <is>
          <t>Нет</t>
        </is>
      </c>
      <c r="H102" s="3" t="inlineStr">
        <is>
          <t>₽</t>
        </is>
      </c>
      <c r="I102" s="3" t="inlineStr">
        <is>
          <t>Формула</t>
        </is>
      </c>
      <c r="J102" s="3" t="inlineStr">
        <is>
          <t>GROSS_PROFIT = NET_REVENUE − COGS_TOTAL</t>
        </is>
      </c>
      <c r="K102" s="3" t="inlineStr">
        <is>
          <t>Только расчёт</t>
        </is>
      </c>
      <c r="L102" s="3" t="inlineStr">
        <is>
          <t>Базовый показатель прибыльности</t>
        </is>
      </c>
    </row>
    <row r="103" ht="24" customHeight="1" s="16">
      <c r="A103" s="3" t="inlineStr">
        <is>
          <t>GROSS_MARGIN</t>
        </is>
      </c>
      <c r="B103" s="3" t="inlineStr">
        <is>
          <t>Валовая маржа</t>
        </is>
      </c>
      <c r="C103" s="7" t="inlineStr">
        <is>
          <t>MVP</t>
        </is>
      </c>
      <c r="D103" s="3" t="inlineStr">
        <is>
          <t>Aggregate</t>
        </is>
      </c>
      <c r="E103" s="3" t="inlineStr">
        <is>
          <t>Проект × период</t>
        </is>
      </c>
      <c r="F103" s="3" t="inlineStr">
        <is>
          <t>Расчёт</t>
        </is>
      </c>
      <c r="G103" s="8" t="inlineStr">
        <is>
          <t>Нет</t>
        </is>
      </c>
      <c r="H103" s="3" t="inlineStr">
        <is>
          <t>%</t>
        </is>
      </c>
      <c r="I103" s="3" t="inlineStr">
        <is>
          <t>Формула</t>
        </is>
      </c>
      <c r="J103" s="3" t="inlineStr">
        <is>
          <t>GROSS_MARGIN = GROSS_PROFIT / NET_REVENUE</t>
        </is>
      </c>
      <c r="K103" s="3" t="inlineStr">
        <is>
          <t>Только расчёт</t>
        </is>
      </c>
      <c r="L103" s="3" t="inlineStr">
        <is>
          <t>Пересчёт от агрегатов</t>
        </is>
      </c>
    </row>
    <row r="104" ht="24" customHeight="1" s="16">
      <c r="A104" s="3" t="inlineStr">
        <is>
          <t>CONTRIBUTION</t>
        </is>
      </c>
      <c r="B104" s="3" t="inlineStr">
        <is>
          <t>Контриба</t>
        </is>
      </c>
      <c r="C104" s="7" t="inlineStr">
        <is>
          <t>MVP</t>
        </is>
      </c>
      <c r="D104" s="3" t="inlineStr">
        <is>
          <t>Aggregate</t>
        </is>
      </c>
      <c r="E104" s="3" t="inlineStr">
        <is>
          <t>Проект × период</t>
        </is>
      </c>
      <c r="F104" s="3" t="inlineStr">
        <is>
          <t>Расчёт</t>
        </is>
      </c>
      <c r="G104" s="8" t="inlineStr">
        <is>
          <t>Нет</t>
        </is>
      </c>
      <c r="H104" s="3" t="inlineStr">
        <is>
          <t>₽</t>
        </is>
      </c>
      <c r="I104" s="3" t="inlineStr">
        <is>
          <t>Формула</t>
        </is>
      </c>
      <c r="J104" s="3" t="inlineStr">
        <is>
          <t>CONTRIBUTION = NET_REVENUE − COGS_TOTAL − - LOGISTICS_COST - VARIABLE_OPEX</t>
        </is>
      </c>
      <c r="K104" s="3" t="inlineStr">
        <is>
          <t>Только расчёт</t>
        </is>
      </c>
      <c r="L104" s="3" t="inlineStr">
        <is>
          <t>Ключевой KPI</t>
        </is>
      </c>
    </row>
    <row r="105" ht="24" customHeight="1" s="16">
      <c r="A105" s="3" t="inlineStr">
        <is>
          <t>CONTRIBUTION_MARGIN</t>
        </is>
      </c>
      <c r="B105" s="3" t="inlineStr">
        <is>
          <t>Контриба, %</t>
        </is>
      </c>
      <c r="C105" s="7" t="inlineStr">
        <is>
          <t>MVP</t>
        </is>
      </c>
      <c r="D105" s="3" t="inlineStr">
        <is>
          <t>Aggregate</t>
        </is>
      </c>
      <c r="E105" s="3" t="inlineStr">
        <is>
          <t>Проект × период</t>
        </is>
      </c>
      <c r="F105" s="3" t="inlineStr">
        <is>
          <t>Расчёт</t>
        </is>
      </c>
      <c r="G105" s="8" t="inlineStr">
        <is>
          <t>Нет</t>
        </is>
      </c>
      <c r="H105" s="3" t="inlineStr">
        <is>
          <t>%</t>
        </is>
      </c>
      <c r="I105" s="3" t="inlineStr">
        <is>
          <t>Формула</t>
        </is>
      </c>
      <c r="J105" s="3" t="inlineStr">
        <is>
          <t>CONTRIBUTION_MARGIN = CONTRIBUTION / NET_REVENUE</t>
        </is>
      </c>
      <c r="K105" s="3" t="inlineStr">
        <is>
          <t>Только расчёт</t>
        </is>
      </c>
      <c r="L105" s="3" t="inlineStr">
        <is>
          <t>Используется в go/no-go</t>
        </is>
      </c>
    </row>
    <row r="106" ht="24" customHeight="1" s="16">
      <c r="A106" s="3" t="inlineStr">
        <is>
          <t>EBITDA</t>
        </is>
      </c>
      <c r="B106" s="3" t="inlineStr">
        <is>
          <t>EBITDA проекта</t>
        </is>
      </c>
      <c r="C106" s="7" t="inlineStr">
        <is>
          <t>MVP</t>
        </is>
      </c>
      <c r="D106" s="3" t="inlineStr">
        <is>
          <t>Aggregate</t>
        </is>
      </c>
      <c r="E106" s="3" t="inlineStr">
        <is>
          <t>Проект × период</t>
        </is>
      </c>
      <c r="F106" s="3" t="inlineStr">
        <is>
          <t>Расчёт</t>
        </is>
      </c>
      <c r="G106" s="8" t="inlineStr">
        <is>
          <t>Нет</t>
        </is>
      </c>
      <c r="H106" s="3" t="inlineStr">
        <is>
          <t>₽</t>
        </is>
      </c>
      <c r="I106" s="3" t="inlineStr">
        <is>
          <t>Формула</t>
        </is>
      </c>
      <c r="J106" s="3" t="inlineStr">
        <is>
          <t>EBITDA = CONTRIBUTION − СAMC_PER_COST - MARKETING_COST</t>
        </is>
      </c>
      <c r="K106" s="3" t="inlineStr">
        <is>
          <t>Только расчёт</t>
        </is>
      </c>
      <c r="L106" s="3" t="inlineStr">
        <is>
          <t>Операционная прибыль</t>
        </is>
      </c>
    </row>
    <row r="107" ht="24" customHeight="1" s="16">
      <c r="A107" s="3" t="inlineStr">
        <is>
          <t>EBITDA_MARGIN</t>
        </is>
      </c>
      <c r="B107" s="3" t="inlineStr">
        <is>
          <t>EBITDA margin</t>
        </is>
      </c>
      <c r="C107" s="7" t="inlineStr">
        <is>
          <t>MVP</t>
        </is>
      </c>
      <c r="D107" s="3" t="inlineStr">
        <is>
          <t>Aggregate</t>
        </is>
      </c>
      <c r="E107" s="3" t="inlineStr">
        <is>
          <t>Проект × период</t>
        </is>
      </c>
      <c r="F107" s="3" t="inlineStr">
        <is>
          <t>Расчёт</t>
        </is>
      </c>
      <c r="G107" s="8" t="inlineStr">
        <is>
          <t>Нет</t>
        </is>
      </c>
      <c r="H107" s="3" t="inlineStr">
        <is>
          <t>%</t>
        </is>
      </c>
      <c r="I107" s="3" t="inlineStr">
        <is>
          <t>Формула</t>
        </is>
      </c>
      <c r="J107" s="3" t="inlineStr">
        <is>
          <t>EBITDA_MARGIN = EBITDA / NET_REVENUE</t>
        </is>
      </c>
      <c r="K107" s="3" t="inlineStr">
        <is>
          <t>Только расчёт</t>
        </is>
      </c>
      <c r="L107" s="3" t="inlineStr">
        <is>
          <t>Пересчёт от агрегатов</t>
        </is>
      </c>
    </row>
    <row r="108" ht="24" customHeight="1" s="16">
      <c r="A108" s="3" t="inlineStr">
        <is>
          <t>PROFIT_TAX</t>
        </is>
      </c>
      <c r="B108" s="3" t="inlineStr">
        <is>
          <t>Налог на прибыль</t>
        </is>
      </c>
      <c r="C108" s="7" t="inlineStr">
        <is>
          <t>MVP</t>
        </is>
      </c>
      <c r="D108" s="3" t="inlineStr">
        <is>
          <t>Aggregate</t>
        </is>
      </c>
      <c r="E108" s="3" t="inlineStr">
        <is>
          <t>Проект × период</t>
        </is>
      </c>
      <c r="F108" s="3" t="inlineStr">
        <is>
          <t>Расчёт</t>
        </is>
      </c>
      <c r="G108" s="8" t="inlineStr">
        <is>
          <t>Нет</t>
        </is>
      </c>
      <c r="H108" s="3" t="inlineStr">
        <is>
          <t>₽</t>
        </is>
      </c>
      <c r="I108" s="3" t="inlineStr">
        <is>
          <t>Формула</t>
        </is>
      </c>
      <c r="J108" s="3" t="inlineStr">
        <is>
          <t>PROFIT_TAX = TAX_RATE × TAX_BASE</t>
        </is>
      </c>
      <c r="K108" s="3" t="inlineStr">
        <is>
          <t>Только расчёт</t>
        </is>
      </c>
      <c r="L108" s="3" t="inlineStr">
        <is>
          <t>Упрощённая налоговая база в MVP</t>
        </is>
      </c>
    </row>
    <row r="109" ht="24" customHeight="1" s="16">
      <c r="A109" s="3" t="inlineStr">
        <is>
          <t>OPERATING_CASH_FLOW</t>
        </is>
      </c>
      <c r="B109" s="3" t="inlineStr">
        <is>
          <t>ЧДП от операционной деятельности</t>
        </is>
      </c>
      <c r="C109" s="7" t="inlineStr">
        <is>
          <t>MVP</t>
        </is>
      </c>
      <c r="D109" s="3" t="inlineStr">
        <is>
          <t>Aggregate</t>
        </is>
      </c>
      <c r="E109" s="3" t="inlineStr">
        <is>
          <t>Проект × период</t>
        </is>
      </c>
      <c r="F109" s="3" t="inlineStr">
        <is>
          <t>Расчёт</t>
        </is>
      </c>
      <c r="G109" s="8" t="inlineStr">
        <is>
          <t>Нет</t>
        </is>
      </c>
      <c r="H109" s="3" t="inlineStr">
        <is>
          <t>₽</t>
        </is>
      </c>
      <c r="I109" s="3" t="inlineStr">
        <is>
          <t>Формула</t>
        </is>
      </c>
      <c r="J109" s="3" t="inlineStr">
        <is>
          <t>OPERATING_CASH_FLOW = CONTRIBUTION − (NET_REVENUE × 0.12) − PROFIT_TAX</t>
        </is>
      </c>
      <c r="K109" s="3" t="inlineStr">
        <is>
          <t>Только расчёт</t>
        </is>
      </c>
      <c r="L109" s="3" t="inlineStr">
        <is>
          <t>Фиксированная логика MVP</t>
        </is>
      </c>
    </row>
    <row r="110" ht="24" customHeight="1" s="16">
      <c r="A110" s="3" t="inlineStr">
        <is>
          <t>INVESTING_CASH_FLOW</t>
        </is>
      </c>
      <c r="B110" s="3" t="inlineStr">
        <is>
          <t>ЧДП от инвестиционной деятельности</t>
        </is>
      </c>
      <c r="C110" s="7" t="inlineStr">
        <is>
          <t>MVP</t>
        </is>
      </c>
      <c r="D110" s="3" t="inlineStr">
        <is>
          <t>Aggregate</t>
        </is>
      </c>
      <c r="E110" s="3" t="inlineStr">
        <is>
          <t>Проект × период</t>
        </is>
      </c>
      <c r="F110" s="3" t="inlineStr">
        <is>
          <t>Расчёт</t>
        </is>
      </c>
      <c r="G110" s="8" t="inlineStr">
        <is>
          <t>Нет</t>
        </is>
      </c>
      <c r="H110" s="3" t="inlineStr">
        <is>
          <t>₽</t>
        </is>
      </c>
      <c r="I110" s="3" t="inlineStr">
        <is>
          <t>Формула</t>
        </is>
      </c>
      <c r="J110" s="3" t="inlineStr">
        <is>
          <t>INVESTING_CASH_FLOW = − CAPEX_TOTAL</t>
        </is>
      </c>
      <c r="K110" s="3" t="inlineStr">
        <is>
          <t>Только расчёт</t>
        </is>
      </c>
      <c r="L110" s="3" t="inlineStr">
        <is>
          <t>Инвест поток</t>
        </is>
      </c>
    </row>
    <row r="111" ht="24" customHeight="1" s="16">
      <c r="A111" s="3" t="inlineStr">
        <is>
          <t>FREE_CASH_FLOW</t>
        </is>
      </c>
      <c r="B111" s="3" t="inlineStr">
        <is>
          <t>Свободный денежный поток</t>
        </is>
      </c>
      <c r="C111" s="7" t="inlineStr">
        <is>
          <t>MVP</t>
        </is>
      </c>
      <c r="D111" s="3" t="inlineStr">
        <is>
          <t>Aggregate</t>
        </is>
      </c>
      <c r="E111" s="3" t="inlineStr">
        <is>
          <t>Проект × период</t>
        </is>
      </c>
      <c r="F111" s="3" t="inlineStr">
        <is>
          <t>Расчёт</t>
        </is>
      </c>
      <c r="G111" s="8" t="inlineStr">
        <is>
          <t>Нет</t>
        </is>
      </c>
      <c r="H111" s="3" t="inlineStr">
        <is>
          <t>₽</t>
        </is>
      </c>
      <c r="I111" s="3" t="inlineStr">
        <is>
          <t>Формула</t>
        </is>
      </c>
      <c r="J111" s="3" t="inlineStr">
        <is>
          <t>FREE_CASH_FLOW = OPERATING_CASH_FLOW + INVESTING_CASH_FLOW</t>
        </is>
      </c>
      <c r="K111" s="3" t="inlineStr">
        <is>
          <t>Только расчёт</t>
        </is>
      </c>
      <c r="L111" s="3" t="inlineStr">
        <is>
          <t>База для дисконтирования</t>
        </is>
      </c>
    </row>
    <row r="112" ht="24" customHeight="1" s="16">
      <c r="A112" s="3" t="inlineStr">
        <is>
          <t>NPV</t>
        </is>
      </c>
      <c r="B112" s="3" t="inlineStr">
        <is>
          <t>Чистая приведённая стоимость</t>
        </is>
      </c>
      <c r="C112" s="7" t="inlineStr">
        <is>
          <t>MVP</t>
        </is>
      </c>
      <c r="D112" s="3" t="inlineStr">
        <is>
          <t>ScenarioResult</t>
        </is>
      </c>
      <c r="E112" s="3" t="inlineStr">
        <is>
          <t>Проект / сценарий</t>
        </is>
      </c>
      <c r="F112" s="3" t="inlineStr">
        <is>
          <t>Расчёт</t>
        </is>
      </c>
      <c r="G112" s="8" t="inlineStr">
        <is>
          <t>Нет</t>
        </is>
      </c>
      <c r="H112" s="3" t="inlineStr">
        <is>
          <t>₽</t>
        </is>
      </c>
      <c r="I112" s="3" t="inlineStr">
        <is>
          <t>Формула</t>
        </is>
      </c>
      <c r="J112" s="3" t="inlineStr">
        <is>
          <t>Сумма дисконтированных помесячных FCF с приведением к Y1–Y3 / Y1–Y5 / Y1–Y10</t>
        </is>
      </c>
      <c r="K112" s="3" t="inlineStr">
        <is>
          <t>Только расчёт</t>
        </is>
      </c>
      <c r="L112" s="3" t="inlineStr">
        <is>
          <t>Ключевой KPI решения</t>
        </is>
      </c>
    </row>
    <row r="113" ht="24" customHeight="1" s="16">
      <c r="A113" s="3" t="inlineStr">
        <is>
          <t>IRR</t>
        </is>
      </c>
      <c r="B113" s="3" t="inlineStr">
        <is>
          <t>Внутренняя норма доходности</t>
        </is>
      </c>
      <c r="C113" s="7" t="inlineStr">
        <is>
          <t>MVP</t>
        </is>
      </c>
      <c r="D113" s="3" t="inlineStr">
        <is>
          <t>ScenarioResult</t>
        </is>
      </c>
      <c r="E113" s="3" t="inlineStr">
        <is>
          <t>Проект / сценарий</t>
        </is>
      </c>
      <c r="F113" s="3" t="inlineStr">
        <is>
          <t>Расчёт</t>
        </is>
      </c>
      <c r="G113" s="8" t="inlineStr">
        <is>
          <t>Нет</t>
        </is>
      </c>
      <c r="H113" s="3" t="inlineStr">
        <is>
          <t>%</t>
        </is>
      </c>
      <c r="I113" s="3" t="inlineStr">
        <is>
          <t>Формула</t>
        </is>
      </c>
      <c r="J113" s="3" t="inlineStr">
        <is>
          <t>IRR по потоку FREE_CASH_FLOW</t>
        </is>
      </c>
      <c r="K113" s="3" t="inlineStr">
        <is>
          <t>Только расчёт</t>
        </is>
      </c>
      <c r="L113" s="3" t="inlineStr">
        <is>
          <t>Финансовый KPI</t>
        </is>
      </c>
    </row>
    <row r="114" ht="24" customHeight="1" s="16">
      <c r="A114" s="3" t="inlineStr">
        <is>
          <t>ROI</t>
        </is>
      </c>
      <c r="B114" s="3" t="inlineStr">
        <is>
          <t>ROI проекта</t>
        </is>
      </c>
      <c r="C114" s="7" t="inlineStr">
        <is>
          <t>MVP</t>
        </is>
      </c>
      <c r="D114" s="3" t="inlineStr">
        <is>
          <t>ScenarioResult</t>
        </is>
      </c>
      <c r="E114" s="3" t="inlineStr">
        <is>
          <t>Проект / сценарий</t>
        </is>
      </c>
      <c r="F114" s="3" t="inlineStr">
        <is>
          <t>Расчёт</t>
        </is>
      </c>
      <c r="G114" s="8" t="inlineStr">
        <is>
          <t>Нет</t>
        </is>
      </c>
      <c r="H114" s="3" t="inlineStr">
        <is>
          <t>%</t>
        </is>
      </c>
      <c r="I114" s="3" t="inlineStr">
        <is>
          <t>Формула</t>
        </is>
      </c>
      <c r="J114" s="3" t="inlineStr">
        <is>
          <t>ROI = cumulative profit / cumulative investment</t>
        </is>
      </c>
      <c r="K114" s="3" t="inlineStr">
        <is>
          <t>Только расчёт</t>
        </is>
      </c>
      <c r="L114" s="3" t="inlineStr">
        <is>
          <t>Определение может уточняться</t>
        </is>
      </c>
    </row>
    <row r="115" ht="24" customHeight="1" s="16">
      <c r="A115" s="3" t="inlineStr">
        <is>
          <t>PAYBACK</t>
        </is>
      </c>
      <c r="B115" s="3" t="inlineStr">
        <is>
          <t>Срок окупаемости</t>
        </is>
      </c>
      <c r="C115" s="7" t="inlineStr">
        <is>
          <t>MVP</t>
        </is>
      </c>
      <c r="D115" s="3" t="inlineStr">
        <is>
          <t>ScenarioResult</t>
        </is>
      </c>
      <c r="E115" s="3" t="inlineStr">
        <is>
          <t>Проект / сценарий</t>
        </is>
      </c>
      <c r="F115" s="3" t="inlineStr">
        <is>
          <t>Расчёт</t>
        </is>
      </c>
      <c r="G115" s="8" t="inlineStr">
        <is>
          <t>Нет</t>
        </is>
      </c>
      <c r="H115" s="3" t="inlineStr">
        <is>
          <t>период / годы</t>
        </is>
      </c>
      <c r="I115" s="3" t="inlineStr">
        <is>
          <t>Формула</t>
        </is>
      </c>
      <c r="J115" s="3" t="inlineStr">
        <is>
          <t>Первый период, в котором cumulative FCF &gt;= 0</t>
        </is>
      </c>
      <c r="K115" s="3" t="inlineStr">
        <is>
          <t>Только расчёт</t>
        </is>
      </c>
      <c r="L115" s="3" t="inlineStr">
        <is>
          <t>Момент окупаемости</t>
        </is>
      </c>
    </row>
    <row r="116" ht="24" customHeight="1" s="16">
      <c r="A116" s="3" t="inlineStr">
        <is>
          <t>GO_NOGO_FLAG</t>
        </is>
      </c>
      <c r="B116" s="3" t="inlineStr">
        <is>
          <t>Сигнальный статус go/no-go</t>
        </is>
      </c>
      <c r="C116" s="7" t="inlineStr">
        <is>
          <t>MVP</t>
        </is>
      </c>
      <c r="D116" s="3" t="inlineStr">
        <is>
          <t>ScenarioResult</t>
        </is>
      </c>
      <c r="E116" s="3" t="inlineStr">
        <is>
          <t>Проект / сценарий</t>
        </is>
      </c>
      <c r="F116" s="3" t="inlineStr">
        <is>
          <t>Расчёт</t>
        </is>
      </c>
      <c r="G116" s="8" t="inlineStr">
        <is>
          <t>Нет</t>
        </is>
      </c>
      <c r="H116" s="3" t="inlineStr">
        <is>
          <t>код / цвет</t>
        </is>
      </c>
      <c r="I116" s="3" t="inlineStr">
        <is>
          <t>Формула</t>
        </is>
      </c>
      <c r="J116" s="3" t="inlineStr">
        <is>
          <t>GREEN если NPV &gt; 0 и CONTRIBUTION_MARGIN &gt; 25%, иначе RED_LIGHT</t>
        </is>
      </c>
      <c r="K116" s="3" t="inlineStr">
        <is>
          <t>Только расчёт</t>
        </is>
      </c>
      <c r="L116" s="3" t="inlineStr">
        <is>
          <t>Сигнальная подсветка</t>
        </is>
      </c>
    </row>
    <row r="117" ht="24" customHeight="1" s="16">
      <c r="A117" s="27" t="inlineStr">
        <is>
          <t>Слои, факт и версионность</t>
        </is>
      </c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</row>
    <row r="118" ht="30" customHeight="1" s="16">
      <c r="A118" s="1" t="inlineStr">
        <is>
          <t>Код переменной</t>
        </is>
      </c>
      <c r="B118" s="1" t="inlineStr">
        <is>
          <t>Название / смысл</t>
        </is>
      </c>
      <c r="C118" s="1" t="inlineStr">
        <is>
          <t>MVP / Later</t>
        </is>
      </c>
      <c r="D118" s="1" t="inlineStr">
        <is>
          <t>Где живёт</t>
        </is>
      </c>
      <c r="E118" s="1" t="inlineStr">
        <is>
          <t>Уровень</t>
        </is>
      </c>
      <c r="F118" s="1" t="inlineStr">
        <is>
          <t>Тип</t>
        </is>
      </c>
      <c r="G118" s="1" t="inlineStr">
        <is>
          <t>Editable in UI</t>
        </is>
      </c>
      <c r="H118" s="1" t="inlineStr">
        <is>
          <t>Ед. изм.</t>
        </is>
      </c>
      <c r="I118" s="1" t="inlineStr">
        <is>
          <t>Источник</t>
        </is>
      </c>
      <c r="J118" s="1" t="inlineStr">
        <is>
          <t>Формула / логика</t>
        </is>
      </c>
      <c r="K118" s="1" t="inlineStr">
        <is>
          <t>Принцип ввода / редактирования</t>
        </is>
      </c>
      <c r="L118" s="1" t="inlineStr">
        <is>
          <t>Описание / комментарий</t>
        </is>
      </c>
    </row>
    <row r="119" ht="24" customHeight="1" s="16">
      <c r="A119" s="3" t="inlineStr">
        <is>
          <t>VALUE_SOURCE_TYPE</t>
        </is>
      </c>
      <c r="B119" s="3" t="inlineStr">
        <is>
          <t>Источник значения</t>
        </is>
      </c>
      <c r="C119" s="7" t="inlineStr">
        <is>
          <t>MVP</t>
        </is>
      </c>
      <c r="D119" s="3" t="inlineStr">
        <is>
          <t>PeriodValue</t>
        </is>
      </c>
      <c r="E119" s="3" t="inlineStr">
        <is>
          <t>Любой показатель × период</t>
        </is>
      </c>
      <c r="F119" s="3" t="inlineStr">
        <is>
          <t>Система</t>
        </is>
      </c>
      <c r="G119" s="8" t="inlineStr">
        <is>
          <t>Нет</t>
        </is>
      </c>
      <c r="H119" s="3" t="inlineStr">
        <is>
          <t>код</t>
        </is>
      </c>
      <c r="I119" s="3" t="inlineStr">
        <is>
          <t>Система</t>
        </is>
      </c>
      <c r="J119" s="3" t="inlineStr">
        <is>
          <t>predict / fine_tuned / actual / scenario_adjusted</t>
        </is>
      </c>
      <c r="K119" s="3" t="inlineStr">
        <is>
          <t>Автозаполнение</t>
        </is>
      </c>
      <c r="L119" s="3" t="inlineStr">
        <is>
          <t>Происхождение значения</t>
        </is>
      </c>
    </row>
    <row r="120" ht="24" customHeight="1" s="16">
      <c r="A120" s="3" t="inlineStr">
        <is>
          <t>VALUE_VERSION_ID</t>
        </is>
      </c>
      <c r="B120" s="3" t="inlineStr">
        <is>
          <t>Версия значения</t>
        </is>
      </c>
      <c r="C120" s="7" t="inlineStr">
        <is>
          <t>MVP</t>
        </is>
      </c>
      <c r="D120" s="3" t="inlineStr">
        <is>
          <t>PeriodValue</t>
        </is>
      </c>
      <c r="E120" s="3" t="inlineStr">
        <is>
          <t>Любой показатель × период</t>
        </is>
      </c>
      <c r="F120" s="3" t="inlineStr">
        <is>
          <t>Система</t>
        </is>
      </c>
      <c r="G120" s="8" t="inlineStr">
        <is>
          <t>Нет</t>
        </is>
      </c>
      <c r="H120" s="3" t="inlineStr">
        <is>
          <t>код</t>
        </is>
      </c>
      <c r="I120" s="3" t="inlineStr">
        <is>
          <t>Система</t>
        </is>
      </c>
      <c r="J120" s="3" t="inlineStr">
        <is>
          <t>—</t>
        </is>
      </c>
      <c r="K120" s="3" t="inlineStr">
        <is>
          <t>Автозаполнение</t>
        </is>
      </c>
      <c r="L120" s="3" t="inlineStr">
        <is>
          <t>Для отката и аудита</t>
        </is>
      </c>
    </row>
    <row r="121" ht="24" customHeight="1" s="16">
      <c r="A121" s="3" t="inlineStr">
        <is>
          <t>VALUE_IS_OVERRIDDEN</t>
        </is>
      </c>
      <c r="B121" s="3" t="inlineStr">
        <is>
          <t>Признак ручного изменения</t>
        </is>
      </c>
      <c r="C121" s="7" t="inlineStr">
        <is>
          <t>MVP</t>
        </is>
      </c>
      <c r="D121" s="3" t="inlineStr">
        <is>
          <t>PeriodValue</t>
        </is>
      </c>
      <c r="E121" s="3" t="inlineStr">
        <is>
          <t>Любой показатель × период</t>
        </is>
      </c>
      <c r="F121" s="3" t="inlineStr">
        <is>
          <t>Система</t>
        </is>
      </c>
      <c r="G121" s="8" t="inlineStr">
        <is>
          <t>Нет</t>
        </is>
      </c>
      <c r="H121" s="3" t="inlineStr">
        <is>
          <t>0/1</t>
        </is>
      </c>
      <c r="I121" s="3" t="inlineStr">
        <is>
          <t>Система</t>
        </is>
      </c>
      <c r="J121" s="3" t="inlineStr">
        <is>
          <t>1 если predict переписан вручную</t>
        </is>
      </c>
      <c r="K121" s="3" t="inlineStr">
        <is>
          <t>Автозаполнение</t>
        </is>
      </c>
      <c r="L121" s="3" t="inlineStr">
        <is>
          <t>Для визуальной подсветки</t>
        </is>
      </c>
    </row>
    <row r="122" ht="24" customHeight="1" s="16">
      <c r="A122" s="3" t="inlineStr">
        <is>
          <t>ACTUAL_IMPORT_BATCH</t>
        </is>
      </c>
      <c r="B122" s="3" t="inlineStr">
        <is>
          <t>Пакет импорта факта</t>
        </is>
      </c>
      <c r="C122" s="7" t="inlineStr">
        <is>
          <t>MVP</t>
        </is>
      </c>
      <c r="D122" s="3" t="inlineStr">
        <is>
          <t>ActualImport</t>
        </is>
      </c>
      <c r="E122" s="3" t="inlineStr">
        <is>
          <t>Факт</t>
        </is>
      </c>
      <c r="F122" s="3" t="inlineStr">
        <is>
          <t>Система</t>
        </is>
      </c>
      <c r="G122" s="8" t="inlineStr">
        <is>
          <t>Нет</t>
        </is>
      </c>
      <c r="H122" s="3" t="inlineStr">
        <is>
          <t>код</t>
        </is>
      </c>
      <c r="I122" s="3" t="inlineStr">
        <is>
          <t>Система</t>
        </is>
      </c>
      <c r="J122" s="3" t="inlineStr">
        <is>
          <t>—</t>
        </is>
      </c>
      <c r="K122" s="3" t="inlineStr">
        <is>
          <t>Присваивается системой</t>
        </is>
      </c>
      <c r="L122" s="3" t="inlineStr">
        <is>
          <t>Трекинг загрузок Excel</t>
        </is>
      </c>
    </row>
    <row r="123" ht="24" customHeight="1" s="16">
      <c r="A123" s="3" t="inlineStr">
        <is>
          <t>HYBRID_VIEW_VALUE</t>
        </is>
      </c>
      <c r="B123" s="3" t="inlineStr">
        <is>
          <t>Гибридное отображаемое значение</t>
        </is>
      </c>
      <c r="C123" s="7" t="inlineStr">
        <is>
          <t>MVP</t>
        </is>
      </c>
      <c r="D123" s="3" t="inlineStr">
        <is>
          <t>ViewModel</t>
        </is>
      </c>
      <c r="E123" s="3" t="inlineStr">
        <is>
          <t>Любой показатель × период</t>
        </is>
      </c>
      <c r="F123" s="3" t="inlineStr">
        <is>
          <t>Расчёт</t>
        </is>
      </c>
      <c r="G123" s="8" t="inlineStr">
        <is>
          <t>Нет</t>
        </is>
      </c>
      <c r="H123" s="3" t="inlineStr">
        <is>
          <t>зависит от метрики</t>
        </is>
      </c>
      <c r="I123" s="3" t="inlineStr">
        <is>
          <t>Формула</t>
        </is>
      </c>
      <c r="J123" s="3" t="inlineStr">
        <is>
          <t>Если период закрыт и есть actual -&gt; actual, иначе fine_tuned / predict</t>
        </is>
      </c>
      <c r="K123" s="3" t="inlineStr">
        <is>
          <t>Только расчёт</t>
        </is>
      </c>
      <c r="L123" s="3" t="inlineStr">
        <is>
          <t>Для режима Hybrid</t>
        </is>
      </c>
    </row>
    <row r="124" ht="24" customHeight="1" s="16">
      <c r="A124" s="27" t="inlineStr">
        <is>
          <t>Метаданные и workflow</t>
        </is>
      </c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</row>
    <row r="125" ht="30" customHeight="1" s="16">
      <c r="A125" s="1" t="inlineStr">
        <is>
          <t>Код переменной</t>
        </is>
      </c>
      <c r="B125" s="1" t="inlineStr">
        <is>
          <t>Название / смысл</t>
        </is>
      </c>
      <c r="C125" s="1" t="inlineStr">
        <is>
          <t>MVP / Later</t>
        </is>
      </c>
      <c r="D125" s="1" t="inlineStr">
        <is>
          <t>Где живёт</t>
        </is>
      </c>
      <c r="E125" s="1" t="inlineStr">
        <is>
          <t>Уровень</t>
        </is>
      </c>
      <c r="F125" s="1" t="inlineStr">
        <is>
          <t>Тип</t>
        </is>
      </c>
      <c r="G125" s="1" t="inlineStr">
        <is>
          <t>Editable in UI</t>
        </is>
      </c>
      <c r="H125" s="1" t="inlineStr">
        <is>
          <t>Ед. изм.</t>
        </is>
      </c>
      <c r="I125" s="1" t="inlineStr">
        <is>
          <t>Источник</t>
        </is>
      </c>
      <c r="J125" s="1" t="inlineStr">
        <is>
          <t>Формула / логика</t>
        </is>
      </c>
      <c r="K125" s="1" t="inlineStr">
        <is>
          <t>Принцип ввода / редактирования</t>
        </is>
      </c>
      <c r="L125" s="1" t="inlineStr">
        <is>
          <t>Описание / комментарий</t>
        </is>
      </c>
    </row>
    <row r="126" ht="24" customHeight="1" s="16">
      <c r="A126" s="2" t="inlineStr">
        <is>
          <t>PROJECT_STATUS</t>
        </is>
      </c>
      <c r="B126" s="2" t="inlineStr">
        <is>
          <t>Статус проекта</t>
        </is>
      </c>
      <c r="C126" s="5" t="inlineStr">
        <is>
          <t>MVP</t>
        </is>
      </c>
      <c r="D126" s="2" t="inlineStr">
        <is>
          <t>Project</t>
        </is>
      </c>
      <c r="E126" s="2" t="inlineStr">
        <is>
          <t>Проект</t>
        </is>
      </c>
      <c r="F126" s="2" t="inlineStr">
        <is>
          <t>Ввод / система</t>
        </is>
      </c>
      <c r="G126" s="2" t="inlineStr">
        <is>
          <t>Да</t>
        </is>
      </c>
      <c r="H126" s="2" t="inlineStr">
        <is>
          <t>код</t>
        </is>
      </c>
      <c r="I126" s="2" t="inlineStr">
        <is>
          <t>Пользователь / система</t>
        </is>
      </c>
      <c r="J126" s="3" t="inlineStr">
        <is>
          <t>—</t>
        </is>
      </c>
      <c r="K126" s="2" t="inlineStr">
        <is>
          <t>Черновик / На оценке / Утверждён / Архив</t>
        </is>
      </c>
      <c r="L126" s="2" t="inlineStr">
        <is>
          <t>Статус жизненного цикла</t>
        </is>
      </c>
    </row>
    <row r="127" ht="24" customHeight="1" s="16">
      <c r="A127" s="3" t="inlineStr">
        <is>
          <t>VERSION_ID</t>
        </is>
      </c>
      <c r="B127" s="3" t="inlineStr">
        <is>
          <t>Версия сценария / паспорта</t>
        </is>
      </c>
      <c r="C127" s="7" t="inlineStr">
        <is>
          <t>MVP</t>
        </is>
      </c>
      <c r="D127" s="3" t="inlineStr">
        <is>
          <t>ScenarioVersion</t>
        </is>
      </c>
      <c r="E127" s="3" t="inlineStr">
        <is>
          <t>Проект / сценарий</t>
        </is>
      </c>
      <c r="F127" s="3" t="inlineStr">
        <is>
          <t>Система</t>
        </is>
      </c>
      <c r="G127" s="8" t="inlineStr">
        <is>
          <t>Нет</t>
        </is>
      </c>
      <c r="H127" s="3" t="inlineStr">
        <is>
          <t>код</t>
        </is>
      </c>
      <c r="I127" s="3" t="inlineStr">
        <is>
          <t>Система</t>
        </is>
      </c>
      <c r="J127" s="3" t="inlineStr">
        <is>
          <t>—</t>
        </is>
      </c>
      <c r="K127" s="3" t="inlineStr">
        <is>
          <t>Автоматически</t>
        </is>
      </c>
      <c r="L127" s="3" t="inlineStr">
        <is>
          <t>История изменений</t>
        </is>
      </c>
    </row>
    <row r="128" ht="24" customHeight="1" s="16">
      <c r="A128" s="3" t="inlineStr">
        <is>
          <t>CREATED_BY</t>
        </is>
      </c>
      <c r="B128" s="3" t="inlineStr">
        <is>
          <t>Автор</t>
        </is>
      </c>
      <c r="C128" s="7" t="inlineStr">
        <is>
          <t>MVP</t>
        </is>
      </c>
      <c r="D128" s="3" t="inlineStr">
        <is>
          <t>Audit</t>
        </is>
      </c>
      <c r="E128" s="3" t="inlineStr">
        <is>
          <t>Проект / сценарий</t>
        </is>
      </c>
      <c r="F128" s="3" t="inlineStr">
        <is>
          <t>Система</t>
        </is>
      </c>
      <c r="G128" s="8" t="inlineStr">
        <is>
          <t>Нет</t>
        </is>
      </c>
      <c r="H128" s="3" t="inlineStr">
        <is>
          <t>текст</t>
        </is>
      </c>
      <c r="I128" s="3" t="inlineStr">
        <is>
          <t>Система</t>
        </is>
      </c>
      <c r="J128" s="3" t="inlineStr">
        <is>
          <t>—</t>
        </is>
      </c>
      <c r="K128" s="3" t="inlineStr">
        <is>
          <t>Автоматически</t>
        </is>
      </c>
      <c r="L128" s="3" t="inlineStr">
        <is>
          <t>Логирование</t>
        </is>
      </c>
    </row>
    <row r="129" ht="24" customHeight="1" s="16">
      <c r="A129" s="3" t="inlineStr">
        <is>
          <t>CREATED_AT</t>
        </is>
      </c>
      <c r="B129" s="3" t="inlineStr">
        <is>
          <t>Дата создания</t>
        </is>
      </c>
      <c r="C129" s="7" t="inlineStr">
        <is>
          <t>MVP</t>
        </is>
      </c>
      <c r="D129" s="3" t="inlineStr">
        <is>
          <t>Audit</t>
        </is>
      </c>
      <c r="E129" s="3" t="inlineStr">
        <is>
          <t>Проект / сценарий</t>
        </is>
      </c>
      <c r="F129" s="3" t="inlineStr">
        <is>
          <t>Система</t>
        </is>
      </c>
      <c r="G129" s="8" t="inlineStr">
        <is>
          <t>Нет</t>
        </is>
      </c>
      <c r="H129" s="3" t="inlineStr">
        <is>
          <t>дата-время</t>
        </is>
      </c>
      <c r="I129" s="3" t="inlineStr">
        <is>
          <t>Система</t>
        </is>
      </c>
      <c r="J129" s="3" t="inlineStr">
        <is>
          <t>—</t>
        </is>
      </c>
      <c r="K129" s="3" t="inlineStr">
        <is>
          <t>Автоматически</t>
        </is>
      </c>
      <c r="L129" s="3" t="inlineStr">
        <is>
          <t>Логирование</t>
        </is>
      </c>
    </row>
    <row r="130" ht="24" customHeight="1" s="16">
      <c r="A130" s="3" t="inlineStr">
        <is>
          <t>UPDATED_AT</t>
        </is>
      </c>
      <c r="B130" s="3" t="inlineStr">
        <is>
          <t>Дата изменения</t>
        </is>
      </c>
      <c r="C130" s="7" t="inlineStr">
        <is>
          <t>MVP</t>
        </is>
      </c>
      <c r="D130" s="3" t="inlineStr">
        <is>
          <t>Audit</t>
        </is>
      </c>
      <c r="E130" s="3" t="inlineStr">
        <is>
          <t>Проект / сценарий</t>
        </is>
      </c>
      <c r="F130" s="3" t="inlineStr">
        <is>
          <t>Система</t>
        </is>
      </c>
      <c r="G130" s="8" t="inlineStr">
        <is>
          <t>Нет</t>
        </is>
      </c>
      <c r="H130" s="3" t="inlineStr">
        <is>
          <t>дата-время</t>
        </is>
      </c>
      <c r="I130" s="3" t="inlineStr">
        <is>
          <t>Система</t>
        </is>
      </c>
      <c r="J130" s="3" t="inlineStr">
        <is>
          <t>—</t>
        </is>
      </c>
      <c r="K130" s="3" t="inlineStr">
        <is>
          <t>Автоматически</t>
        </is>
      </c>
      <c r="L130" s="3" t="inlineStr">
        <is>
          <t>Логирование</t>
        </is>
      </c>
    </row>
    <row r="131" ht="24" customHeight="1" s="16">
      <c r="A131" s="3" t="inlineStr">
        <is>
          <t>CLONE_SOURCE_ID</t>
        </is>
      </c>
      <c r="B131" s="3" t="inlineStr">
        <is>
          <t>Источник клонирования</t>
        </is>
      </c>
      <c r="C131" s="7" t="inlineStr">
        <is>
          <t>MVP</t>
        </is>
      </c>
      <c r="D131" s="3" t="inlineStr">
        <is>
          <t>CloneMeta</t>
        </is>
      </c>
      <c r="E131" s="3" t="inlineStr">
        <is>
          <t>Проект / SKU / SKU×канал</t>
        </is>
      </c>
      <c r="F131" s="3" t="inlineStr">
        <is>
          <t>Система</t>
        </is>
      </c>
      <c r="G131" s="8" t="inlineStr">
        <is>
          <t>Нет</t>
        </is>
      </c>
      <c r="H131" s="3" t="inlineStr">
        <is>
          <t>код</t>
        </is>
      </c>
      <c r="I131" s="3" t="inlineStr">
        <is>
          <t>Система</t>
        </is>
      </c>
      <c r="J131" s="3" t="inlineStr">
        <is>
          <t>—</t>
        </is>
      </c>
      <c r="K131" s="3" t="inlineStr">
        <is>
          <t>Автоматически при clone</t>
        </is>
      </c>
      <c r="L131" s="3" t="inlineStr">
        <is>
          <t>Ускоренное создание на базе существующих сущностей</t>
        </is>
      </c>
    </row>
  </sheetData>
  <mergeCells count="12">
    <mergeCell ref="A96:L96"/>
    <mergeCell ref="A90:L90"/>
    <mergeCell ref="A76:L76"/>
    <mergeCell ref="A117:L117"/>
    <mergeCell ref="A1:L1"/>
    <mergeCell ref="A32:L32"/>
    <mergeCell ref="A44:L44"/>
    <mergeCell ref="A58:L58"/>
    <mergeCell ref="A70:L70"/>
    <mergeCell ref="A18:L18"/>
    <mergeCell ref="A124:L124"/>
    <mergeCell ref="A100:L100"/>
  </mergeCells>
  <pageMargins left="0.75" right="0.75" top="1" bottom="1" header="0.5" footer="0.5"/>
  <pageSetup orientation="portrait" paperSize="9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D13" sqref="D13"/>
    </sheetView>
  </sheetViews>
  <sheetFormatPr baseColWidth="8" defaultRowHeight="15"/>
  <cols>
    <col width="51.42578125" bestFit="1" customWidth="1" style="16" min="1" max="1"/>
    <col width="28.28515625" customWidth="1" style="4" min="2" max="2"/>
  </cols>
  <sheetData>
    <row r="1">
      <c r="A1" t="inlineStr">
        <is>
          <t>CHANNEL_NAME</t>
        </is>
      </c>
      <c r="B1" s="4" t="inlineStr">
        <is>
          <t>UNIVERSE_OUTLETS</t>
        </is>
      </c>
    </row>
    <row r="2">
      <c r="A2" t="inlineStr">
        <is>
          <t>Nielsen HM</t>
        </is>
      </c>
      <c r="B2" s="4" t="n">
        <v>822</v>
      </c>
    </row>
    <row r="3">
      <c r="A3" t="inlineStr">
        <is>
          <t>Nielsen SM</t>
        </is>
      </c>
      <c r="B3" s="4" t="n">
        <v>34083</v>
      </c>
    </row>
    <row r="4">
      <c r="A4" t="inlineStr">
        <is>
          <t>Nielsen MM</t>
        </is>
      </c>
      <c r="B4" s="4" t="n">
        <v>58080</v>
      </c>
    </row>
    <row r="5">
      <c r="A5" t="inlineStr">
        <is>
          <t>Nielsen TT</t>
        </is>
      </c>
      <c r="B5" s="4" t="n">
        <v>91444</v>
      </c>
    </row>
    <row r="6">
      <c r="A6" t="inlineStr">
        <is>
          <t>2GIS COFFEE</t>
        </is>
      </c>
      <c r="B6" s="4" t="n">
        <v>49229</v>
      </c>
    </row>
    <row r="7">
      <c r="A7" t="inlineStr">
        <is>
          <t>2GIS LEISURE &amp; TRANSPORT</t>
        </is>
      </c>
      <c r="B7" s="4" t="n">
        <v>22598</v>
      </c>
    </row>
    <row r="8">
      <c r="A8" t="inlineStr">
        <is>
          <t>2GIS QSR+FSR</t>
        </is>
      </c>
      <c r="B8" s="4" t="n">
        <v>76030</v>
      </c>
    </row>
    <row r="9">
      <c r="A9" t="inlineStr">
        <is>
          <t>2GIS RETAIL</t>
        </is>
      </c>
      <c r="B9" s="4" t="n">
        <v>5725</v>
      </c>
    </row>
    <row r="10">
      <c r="A10" t="inlineStr">
        <is>
          <t>2GIS COFFEE Кафе</t>
        </is>
      </c>
      <c r="B10" s="4" t="n">
        <v>28138</v>
      </c>
    </row>
    <row r="11">
      <c r="A11" t="inlineStr">
        <is>
          <t>2GIS COFFEE Кофейни и кондитерские</t>
        </is>
      </c>
      <c r="B11" s="4" t="n">
        <v>16348</v>
      </c>
    </row>
    <row r="12">
      <c r="A12" t="inlineStr">
        <is>
          <t>2GIS COFFEE Пекарни</t>
        </is>
      </c>
      <c r="B12" s="4" t="n">
        <v>3519</v>
      </c>
    </row>
    <row r="13">
      <c r="A13" t="inlineStr">
        <is>
          <t>2GIS COFFEE Точки кофе</t>
        </is>
      </c>
      <c r="B13" s="4" t="n">
        <v>1224</v>
      </c>
    </row>
    <row r="14">
      <c r="A14" t="inlineStr">
        <is>
          <t>2GIS LEISURE &amp; TRANSPORT Столовые</t>
        </is>
      </c>
      <c r="B14" s="4" t="n">
        <v>10247</v>
      </c>
    </row>
    <row r="15">
      <c r="A15" t="inlineStr">
        <is>
          <t>2GIS LEISURE &amp; TRANSPORT Кулинария</t>
        </is>
      </c>
      <c r="B15" s="4" t="n">
        <v>4269</v>
      </c>
    </row>
    <row r="16">
      <c r="A16" t="inlineStr">
        <is>
          <t>2GIS LEISURE &amp; TRANSPORT Кейтеринг</t>
        </is>
      </c>
      <c r="B16" s="4" t="n">
        <v>2599</v>
      </c>
    </row>
    <row r="17">
      <c r="A17" t="inlineStr">
        <is>
          <t>2GIS LEISURE &amp; TRANSPORT Гостиница/База отдыха</t>
        </is>
      </c>
      <c r="B17" s="4" t="n">
        <v>2375</v>
      </c>
    </row>
    <row r="18">
      <c r="A18" t="inlineStr">
        <is>
          <t>2GIS LEISURE &amp; TRANSPORT Магазины разливного пива</t>
        </is>
      </c>
      <c r="B18" s="4" t="n">
        <v>2182</v>
      </c>
    </row>
    <row r="19">
      <c r="A19" t="inlineStr">
        <is>
          <t>2GIS LEISURE &amp; TRANSPORT Организация развлечений</t>
        </is>
      </c>
      <c r="B19" s="4" t="n">
        <v>926</v>
      </c>
    </row>
    <row r="20">
      <c r="A20" t="inlineStr">
        <is>
          <t>2GIS QSR+FSR Быстрое питание</t>
        </is>
      </c>
      <c r="B20" s="4" t="n">
        <v>33794</v>
      </c>
    </row>
    <row r="21">
      <c r="A21" t="inlineStr">
        <is>
          <t>2GIS QSR+FSR Бары</t>
        </is>
      </c>
      <c r="B21" s="4" t="n">
        <v>11202</v>
      </c>
    </row>
    <row r="22">
      <c r="A22" t="inlineStr">
        <is>
          <t>2GIS QSR+FSR Рестораны</t>
        </is>
      </c>
      <c r="B22" s="4" t="n">
        <v>8664</v>
      </c>
    </row>
    <row r="23">
      <c r="A23" t="inlineStr">
        <is>
          <t>2GIS QSR+FSR Суши-бары</t>
        </is>
      </c>
      <c r="B23" s="4" t="n">
        <v>7664</v>
      </c>
    </row>
    <row r="24">
      <c r="A24" t="inlineStr">
        <is>
          <t>2GIS QSR+FSR Пиццерии</t>
        </is>
      </c>
      <c r="B24" s="4" t="n">
        <v>7199</v>
      </c>
    </row>
    <row r="25">
      <c r="A25" t="inlineStr">
        <is>
          <t>2GIS QSR+FSR Шаурма</t>
        </is>
      </c>
      <c r="B25" s="4" t="n">
        <v>4348</v>
      </c>
    </row>
    <row r="26">
      <c r="A26" t="inlineStr">
        <is>
          <t>2GIS QSR+FSR Бургеры</t>
        </is>
      </c>
      <c r="B26" s="4" t="n">
        <v>3159</v>
      </c>
    </row>
    <row r="27">
      <c r="A27" t="inlineStr">
        <is>
          <t>2GIS RETAIL Магазин</t>
        </is>
      </c>
      <c r="B27" s="4" t="n">
        <v>5718</v>
      </c>
    </row>
    <row r="28">
      <c r="A28" t="inlineStr">
        <is>
          <t>2GIS RETAIL Гипермаркет/Cash&amp;Carry</t>
        </is>
      </c>
      <c r="B28" s="4" t="n">
        <v>7</v>
      </c>
    </row>
    <row r="29">
      <c r="A29" t="inlineStr">
        <is>
          <t>InfoLine Fast food</t>
        </is>
      </c>
      <c r="B29" s="4" t="n">
        <v>6303</v>
      </c>
    </row>
    <row r="30">
      <c r="A30" t="inlineStr">
        <is>
          <t>InfoLine Пекарня</t>
        </is>
      </c>
      <c r="B30" s="4" t="n">
        <v>5075</v>
      </c>
    </row>
    <row r="31">
      <c r="A31" t="inlineStr">
        <is>
          <t>InfoLine Кафе при АЗС</t>
        </is>
      </c>
      <c r="B31" s="4" t="n">
        <v>4058</v>
      </c>
    </row>
    <row r="32">
      <c r="A32" t="inlineStr">
        <is>
          <t>InfoLine Grab&amp;Go</t>
        </is>
      </c>
      <c r="B32" s="4" t="n">
        <v>3164</v>
      </c>
    </row>
    <row r="33">
      <c r="A33" t="inlineStr">
        <is>
          <t>InfoLine Fast casual</t>
        </is>
      </c>
      <c r="B33" s="4" t="n">
        <v>1989</v>
      </c>
    </row>
    <row r="34">
      <c r="A34" t="inlineStr">
        <is>
          <t>InfoLine Пиццерия</t>
        </is>
      </c>
      <c r="B34" s="4" t="n">
        <v>1973</v>
      </c>
    </row>
    <row r="35">
      <c r="A35" t="inlineStr">
        <is>
          <t>InfoLine Casual dining</t>
        </is>
      </c>
      <c r="B35" s="4" t="n">
        <v>1678</v>
      </c>
    </row>
    <row r="36">
      <c r="A36" t="inlineStr">
        <is>
          <t>InfoLine Суши-шоп</t>
        </is>
      </c>
      <c r="B36" s="4" t="n">
        <v>1527</v>
      </c>
    </row>
    <row r="37">
      <c r="A37" t="inlineStr">
        <is>
          <t>InfoLine Кофейня</t>
        </is>
      </c>
      <c r="B37" s="4" t="n">
        <v>1313</v>
      </c>
    </row>
    <row r="38">
      <c r="A38" t="inlineStr">
        <is>
          <t>InfoLine Столовая</t>
        </is>
      </c>
      <c r="B38" s="4" t="n">
        <v>354</v>
      </c>
    </row>
    <row r="39">
      <c r="A39" t="inlineStr">
        <is>
          <t>InfoLine Fine dining</t>
        </is>
      </c>
      <c r="B39" s="4" t="n">
        <v>272</v>
      </c>
    </row>
    <row r="40">
      <c r="A40" t="inlineStr">
        <is>
          <t>InfoLine Пиццерия/Суши-шоп</t>
        </is>
      </c>
      <c r="B40" s="4" t="n">
        <v>84</v>
      </c>
    </row>
    <row r="41">
      <c r="A41" t="inlineStr">
        <is>
          <t>InfoLine Кондитерская</t>
        </is>
      </c>
      <c r="B41" s="4" t="n">
        <v>10</v>
      </c>
    </row>
    <row r="42">
      <c r="A42" t="inlineStr">
        <is>
          <t>ЦРПТ Аптеки</t>
        </is>
      </c>
      <c r="B42" s="4" t="n">
        <v>95974</v>
      </c>
    </row>
    <row r="43">
      <c r="A43" t="inlineStr">
        <is>
          <t>ЦРПТ Заправки</t>
        </is>
      </c>
      <c r="B43" s="4" t="n">
        <v>14550</v>
      </c>
    </row>
    <row r="44">
      <c r="A44" t="inlineStr">
        <is>
          <t>ЦРПТ ЛКК</t>
        </is>
      </c>
      <c r="B44" s="4" t="n">
        <v>38495</v>
      </c>
    </row>
    <row r="45">
      <c r="A45" t="inlineStr">
        <is>
          <t>ЦРПТ Не сети</t>
        </is>
      </c>
      <c r="B45" s="4" t="n">
        <v>392721</v>
      </c>
    </row>
    <row r="46">
      <c r="A46" t="inlineStr">
        <is>
          <t>ЦРПТ ФКК</t>
        </is>
      </c>
      <c r="B46" s="4" t="n">
        <v>99116</v>
      </c>
    </row>
    <row r="47">
      <c r="A47" t="inlineStr">
        <is>
          <t>ЦРПТ ДФО Аптеки</t>
        </is>
      </c>
      <c r="B47" s="4" t="n">
        <v>1137.634331185396</v>
      </c>
    </row>
    <row r="48">
      <c r="A48" t="inlineStr">
        <is>
          <t>ЦРПТ ДФО Заправки</t>
        </is>
      </c>
      <c r="B48" s="4" t="n">
        <v>239.5275563561721</v>
      </c>
    </row>
    <row r="49">
      <c r="A49" t="inlineStr">
        <is>
          <t>ЦРПТ ДФО ЛКК</t>
        </is>
      </c>
      <c r="B49" s="4" t="n">
        <v>976.1505515414228</v>
      </c>
    </row>
    <row r="50">
      <c r="A50" t="inlineStr">
        <is>
          <t>ЦРПТ ДФО Не сети</t>
        </is>
      </c>
      <c r="B50" s="4" t="n">
        <v>6517.790953121565</v>
      </c>
    </row>
    <row r="51">
      <c r="A51" t="inlineStr">
        <is>
          <t>ЦРПТ ДФО ФКК</t>
        </is>
      </c>
      <c r="B51" s="4" t="n">
        <v>691.7454806998805</v>
      </c>
    </row>
    <row r="52">
      <c r="A52" t="inlineStr">
        <is>
          <t>ЦРПТ ПФО Аптеки</t>
        </is>
      </c>
      <c r="B52" s="4" t="n">
        <v>11192.74159186913</v>
      </c>
    </row>
    <row r="53">
      <c r="A53" t="inlineStr">
        <is>
          <t>ЦРПТ ПФО Заправки</t>
        </is>
      </c>
      <c r="B53" s="4" t="n">
        <v>2106.136017984808</v>
      </c>
    </row>
    <row r="54">
      <c r="A54" t="inlineStr">
        <is>
          <t>ЦРПТ ПФО ЛКК</t>
        </is>
      </c>
      <c r="B54" s="4" t="n">
        <v>4658.213359056821</v>
      </c>
    </row>
    <row r="55">
      <c r="A55" t="inlineStr">
        <is>
          <t>ЦРПТ ПФО Не сети</t>
        </is>
      </c>
      <c r="B55" s="4" t="n">
        <v>38070.89790285014</v>
      </c>
    </row>
    <row r="56">
      <c r="A56" t="inlineStr">
        <is>
          <t>ЦРПТ ПФО ФКК</t>
        </is>
      </c>
      <c r="B56" s="4" t="n">
        <v>16582.2978804397</v>
      </c>
    </row>
    <row r="57">
      <c r="A57" t="inlineStr">
        <is>
          <t>ЦРПТ СЗФО Аптеки</t>
        </is>
      </c>
      <c r="B57" s="4" t="n">
        <v>5888.431843813038</v>
      </c>
    </row>
    <row r="58">
      <c r="A58" t="inlineStr">
        <is>
          <t>ЦРПТ СЗФО Заправки</t>
        </is>
      </c>
      <c r="B58" s="4" t="n">
        <v>1186.368041435387</v>
      </c>
    </row>
    <row r="59">
      <c r="A59" t="inlineStr">
        <is>
          <t>ЦРПТ СЗФО ЛКК</t>
        </is>
      </c>
      <c r="B59" s="4" t="n">
        <v>3149.844218354627</v>
      </c>
    </row>
    <row r="60">
      <c r="A60" t="inlineStr">
        <is>
          <t>ЦРПТ СЗФО Не сети</t>
        </is>
      </c>
      <c r="B60" s="4" t="n">
        <v>21402.74866898981</v>
      </c>
    </row>
    <row r="61">
      <c r="A61" t="inlineStr">
        <is>
          <t>ЦРПТ СЗФО ФКК</t>
        </is>
      </c>
      <c r="B61" s="4" t="n">
        <v>8742.913166811601</v>
      </c>
    </row>
    <row r="62">
      <c r="A62" t="inlineStr">
        <is>
          <t>ЦРПТ СФО Аптеки</t>
        </is>
      </c>
      <c r="B62" s="4" t="n">
        <v>6723.524106209152</v>
      </c>
    </row>
    <row r="63">
      <c r="A63" t="inlineStr">
        <is>
          <t>ЦРПТ СФО Заправки</t>
        </is>
      </c>
      <c r="B63" s="4" t="n">
        <v>1036.217906314479</v>
      </c>
    </row>
    <row r="64">
      <c r="A64" t="inlineStr">
        <is>
          <t>ЦРПТ СФО ЛКК</t>
        </is>
      </c>
      <c r="B64" s="4" t="n">
        <v>5518.460126829867</v>
      </c>
    </row>
    <row r="65">
      <c r="A65" t="inlineStr">
        <is>
          <t>ЦРПТ СФО Не сети</t>
        </is>
      </c>
      <c r="B65" s="4" t="n">
        <v>30689.82571098917</v>
      </c>
    </row>
    <row r="66">
      <c r="A66" t="inlineStr">
        <is>
          <t>ЦРПТ СФО ФКК</t>
        </is>
      </c>
      <c r="B66" s="4" t="n">
        <v>6449.462279653555</v>
      </c>
    </row>
    <row r="67">
      <c r="A67" t="inlineStr">
        <is>
          <t>ЦРПТ УФО Аптеки</t>
        </is>
      </c>
      <c r="B67" s="4" t="n">
        <v>6012.475968007726</v>
      </c>
    </row>
    <row r="68">
      <c r="A68" t="inlineStr">
        <is>
          <t>ЦРПТ УФО Заправки</t>
        </is>
      </c>
      <c r="B68" s="4" t="n">
        <v>906.0123490714718</v>
      </c>
    </row>
    <row r="69">
      <c r="A69" t="inlineStr">
        <is>
          <t>ЦРПТ УФО ЛКК</t>
        </is>
      </c>
      <c r="B69" s="4" t="n">
        <v>3527.575115886785</v>
      </c>
    </row>
    <row r="70">
      <c r="A70" t="inlineStr">
        <is>
          <t>ЦРПТ УФО Не сети</t>
        </is>
      </c>
      <c r="B70" s="4" t="n">
        <v>20024.66124565802</v>
      </c>
    </row>
    <row r="71">
      <c r="A71" t="inlineStr">
        <is>
          <t>ЦРПТ УФО ФКК</t>
        </is>
      </c>
      <c r="B71" s="4" t="n">
        <v>10139.49948488118</v>
      </c>
    </row>
    <row r="72">
      <c r="A72" t="inlineStr">
        <is>
          <t>ЦРПТ ЦФО Аптеки</t>
        </is>
      </c>
      <c r="B72" s="4" t="n">
        <v>17834.98061433706</v>
      </c>
    </row>
    <row r="73">
      <c r="A73" t="inlineStr">
        <is>
          <t>ЦРПТ ЦФО Заправки</t>
        </is>
      </c>
      <c r="B73" s="4" t="n">
        <v>2834.505182756069</v>
      </c>
    </row>
    <row r="74">
      <c r="A74" t="inlineStr">
        <is>
          <t>ЦРПТ ЦФО ЛКК</t>
        </is>
      </c>
      <c r="B74" s="4" t="n">
        <v>8701.704362239236</v>
      </c>
    </row>
    <row r="75">
      <c r="A75" t="inlineStr">
        <is>
          <t>ЦРПТ ЦФО Не сети</t>
        </is>
      </c>
      <c r="B75" s="4" t="n">
        <v>53010.67685491942</v>
      </c>
    </row>
    <row r="76">
      <c r="A76" t="inlineStr">
        <is>
          <t>ЦРПТ ЦФО ФКК</t>
        </is>
      </c>
      <c r="B76" s="4" t="n">
        <v>25781.43168550312</v>
      </c>
    </row>
    <row r="77">
      <c r="A77" t="inlineStr">
        <is>
          <t>ЦРПТ ЮФО Аптеки</t>
        </is>
      </c>
      <c r="B77" s="4" t="n">
        <v>8232.175111999095</v>
      </c>
    </row>
    <row r="78">
      <c r="A78" t="inlineStr">
        <is>
          <t>ЦРПТ ЮФО Заправки</t>
        </is>
      </c>
      <c r="B78" s="4" t="n">
        <v>1183.784420064027</v>
      </c>
    </row>
    <row r="79">
      <c r="A79" t="inlineStr">
        <is>
          <t>ЦРПТ ЮФО ЛКК</t>
        </is>
      </c>
      <c r="B79" s="4" t="n">
        <v>2351.448919733142</v>
      </c>
    </row>
    <row r="80">
      <c r="A80" t="inlineStr">
        <is>
          <t>ЦРПТ ЮФО Не сети</t>
        </is>
      </c>
      <c r="B80" s="4" t="n">
        <v>24025.4297875853</v>
      </c>
    </row>
    <row r="81">
      <c r="A81" t="inlineStr">
        <is>
          <t>ЦРПТ ЮФО ФКК</t>
        </is>
      </c>
      <c r="B81" s="4" t="n">
        <v>10568.48608523786</v>
      </c>
    </row>
    <row r="82">
      <c r="A82" t="inlineStr">
        <is>
          <t>Beauty store</t>
        </is>
      </c>
      <c r="B82" s="4" t="n">
        <v>600000</v>
      </c>
    </row>
    <row r="83">
      <c r="A83" t="inlineStr">
        <is>
          <t>Beauty-NS</t>
        </is>
      </c>
      <c r="B83" s="4" t="n">
        <v>100</v>
      </c>
    </row>
    <row r="84">
      <c r="A84" t="inlineStr">
        <is>
          <t>DS
Пятерочка</t>
        </is>
      </c>
      <c r="B84" s="4" t="n">
        <v>18200</v>
      </c>
    </row>
    <row r="85">
      <c r="A85" t="inlineStr">
        <is>
          <t>DS
Магнит</t>
        </is>
      </c>
      <c r="B85" s="4" t="n">
        <v>13528</v>
      </c>
    </row>
    <row r="86">
      <c r="A86" t="inlineStr">
        <is>
          <t>HDS</t>
        </is>
      </c>
      <c r="B86" s="4" t="n">
        <v>10003</v>
      </c>
    </row>
    <row r="87">
      <c r="A87" t="inlineStr">
        <is>
          <t>ALCO</t>
        </is>
      </c>
      <c r="B87" s="4" t="n">
        <v>18500</v>
      </c>
    </row>
    <row r="88">
      <c r="A88" t="inlineStr">
        <is>
          <t>ВкусВилл</t>
        </is>
      </c>
      <c r="B88" s="4" t="n">
        <v>1973</v>
      </c>
    </row>
    <row r="89">
      <c r="A89" t="inlineStr">
        <is>
          <t>HORECA_СПОРТ</t>
        </is>
      </c>
      <c r="B89" s="4" t="n">
        <v>355000</v>
      </c>
    </row>
    <row r="90">
      <c r="A90" t="inlineStr">
        <is>
          <t>VEND_machine</t>
        </is>
      </c>
      <c r="B90" s="4" t="n">
        <v>51450</v>
      </c>
    </row>
    <row r="91">
      <c r="A91" t="inlineStr">
        <is>
          <t>Vkusno I tochka</t>
        </is>
      </c>
      <c r="B91" s="4" t="n">
        <v>900</v>
      </c>
    </row>
    <row r="92">
      <c r="A92" t="inlineStr">
        <is>
          <t>Burger king</t>
        </is>
      </c>
      <c r="B92" s="4" t="n">
        <v>817</v>
      </c>
    </row>
    <row r="93">
      <c r="A93" t="inlineStr">
        <is>
          <t>Rostics</t>
        </is>
      </c>
      <c r="B93" s="4" t="n">
        <v>1150</v>
      </c>
    </row>
    <row r="94">
      <c r="A94" t="inlineStr">
        <is>
          <t>Do-Do_pizza</t>
        </is>
      </c>
      <c r="B94" s="4" t="n">
        <v>817</v>
      </c>
    </row>
    <row r="95">
      <c r="A95" t="inlineStr">
        <is>
          <t>E-COM_OZ</t>
        </is>
      </c>
      <c r="B95" s="4" t="n">
        <v>1</v>
      </c>
    </row>
    <row r="96">
      <c r="A96" t="inlineStr">
        <is>
          <t>E-COM_WB</t>
        </is>
      </c>
      <c r="B96" s="4" t="n">
        <v>1</v>
      </c>
    </row>
    <row r="97">
      <c r="A97" t="inlineStr">
        <is>
          <t>E-COM_YA</t>
        </is>
      </c>
      <c r="B97" s="4" t="n">
        <v>1</v>
      </c>
    </row>
    <row r="98">
      <c r="A98" t="inlineStr">
        <is>
          <t>E-COM_SBER</t>
        </is>
      </c>
      <c r="B98" s="4" t="n">
        <v>1</v>
      </c>
    </row>
    <row r="99">
      <c r="A99" t="inlineStr">
        <is>
          <t>E-COM_OZ_Fresh</t>
        </is>
      </c>
      <c r="B99" s="4" t="n">
        <v>1</v>
      </c>
    </row>
    <row r="100">
      <c r="A100" t="inlineStr">
        <is>
          <t>E_COM_E-grocery</t>
        </is>
      </c>
      <c r="B100" s="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7"/>
  <sheetViews>
    <sheetView zoomScale="70" zoomScaleNormal="70" workbookViewId="0">
      <selection activeCell="A2" sqref="A2:XFD2"/>
    </sheetView>
  </sheetViews>
  <sheetFormatPr baseColWidth="8" defaultRowHeight="15"/>
  <cols>
    <col width="21.7109375" bestFit="1" customWidth="1" style="16" min="1" max="1"/>
  </cols>
  <sheetData>
    <row r="1">
      <c r="A1" t="inlineStr">
        <is>
          <t>INFLATION_PROFILE</t>
        </is>
      </c>
      <c r="B1" t="inlineStr">
        <is>
          <t>Y1-Y3 M1</t>
        </is>
      </c>
      <c r="C1" t="inlineStr">
        <is>
          <t>Y1-Y3 M2</t>
        </is>
      </c>
      <c r="D1" t="inlineStr">
        <is>
          <t>Y1-Y3 M3</t>
        </is>
      </c>
      <c r="E1" t="inlineStr">
        <is>
          <t>Y1-Y3 M4</t>
        </is>
      </c>
      <c r="F1" t="inlineStr">
        <is>
          <t>Y1-Y3 M5</t>
        </is>
      </c>
      <c r="G1" t="inlineStr">
        <is>
          <t>Y1-Y3 M6</t>
        </is>
      </c>
      <c r="H1" t="inlineStr">
        <is>
          <t>Y1-Y3 M7</t>
        </is>
      </c>
      <c r="I1" t="inlineStr">
        <is>
          <t>Y1-Y3 M8</t>
        </is>
      </c>
      <c r="J1" t="inlineStr">
        <is>
          <t>Y1-Y3 M9</t>
        </is>
      </c>
      <c r="K1" t="inlineStr">
        <is>
          <t>Y1-Y3 M10</t>
        </is>
      </c>
      <c r="L1" t="inlineStr">
        <is>
          <t>Y1-Y3 M11</t>
        </is>
      </c>
      <c r="M1" t="inlineStr">
        <is>
          <t>Y1-Y3 M12</t>
        </is>
      </c>
      <c r="N1" t="inlineStr">
        <is>
          <t>Y4</t>
        </is>
      </c>
      <c r="O1" t="inlineStr">
        <is>
          <t>Y5</t>
        </is>
      </c>
      <c r="P1" t="inlineStr">
        <is>
          <t>Y6</t>
        </is>
      </c>
      <c r="Q1" t="inlineStr">
        <is>
          <t>Y7</t>
        </is>
      </c>
      <c r="R1" t="inlineStr">
        <is>
          <t>Y8</t>
        </is>
      </c>
      <c r="S1" t="inlineStr">
        <is>
          <t>Y9</t>
        </is>
      </c>
      <c r="T1" t="inlineStr">
        <is>
          <t>Y10</t>
        </is>
      </c>
    </row>
    <row r="2">
      <c r="A2" t="inlineStr">
        <is>
          <t>No_Inflation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Апрель +4%</t>
        </is>
      </c>
      <c r="B3" t="n">
        <v>0</v>
      </c>
      <c r="C3" t="n">
        <v>0</v>
      </c>
      <c r="D3" t="n">
        <v>0</v>
      </c>
      <c r="E3" t="n">
        <v>0.04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0.03000000000000003</v>
      </c>
      <c r="O3" t="n">
        <v>0.03000000000000003</v>
      </c>
      <c r="P3" t="n">
        <v>0.03000000000000003</v>
      </c>
      <c r="Q3" t="n">
        <v>0.03000000000000003</v>
      </c>
      <c r="R3" t="n">
        <v>0.03000000000000003</v>
      </c>
      <c r="S3" t="n">
        <v>0.03000000000000003</v>
      </c>
      <c r="T3" t="n">
        <v>0.03000000000000003</v>
      </c>
    </row>
    <row r="4">
      <c r="A4" t="inlineStr">
        <is>
          <t>Апрель +5%</t>
        </is>
      </c>
      <c r="B4" t="n">
        <v>0</v>
      </c>
      <c r="C4" t="n">
        <v>0</v>
      </c>
      <c r="D4" t="n">
        <v>0</v>
      </c>
      <c r="E4" t="n">
        <v>0.05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0.03750000000000009</v>
      </c>
      <c r="O4" t="n">
        <v>0.03750000000000009</v>
      </c>
      <c r="P4" t="n">
        <v>0.03750000000000009</v>
      </c>
      <c r="Q4" t="n">
        <v>0.03750000000000009</v>
      </c>
      <c r="R4" t="n">
        <v>0.03750000000000009</v>
      </c>
      <c r="S4" t="n">
        <v>0.03750000000000009</v>
      </c>
      <c r="T4" t="n">
        <v>0.03750000000000009</v>
      </c>
    </row>
    <row r="5">
      <c r="A5" t="inlineStr">
        <is>
          <t>Апрель +6%</t>
        </is>
      </c>
      <c r="B5" t="n">
        <v>0</v>
      </c>
      <c r="C5" t="n">
        <v>0</v>
      </c>
      <c r="D5" t="n">
        <v>0</v>
      </c>
      <c r="E5" t="n">
        <v>0.06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0.04499999999999993</v>
      </c>
      <c r="O5" t="n">
        <v>0.04499999999999993</v>
      </c>
      <c r="P5" t="n">
        <v>0.04499999999999993</v>
      </c>
      <c r="Q5" t="n">
        <v>0.04499999999999993</v>
      </c>
      <c r="R5" t="n">
        <v>0.04499999999999993</v>
      </c>
      <c r="S5" t="n">
        <v>0.04499999999999993</v>
      </c>
      <c r="T5" t="n">
        <v>0.04499999999999993</v>
      </c>
    </row>
    <row r="6">
      <c r="A6" t="inlineStr">
        <is>
          <t>Апрель +7%</t>
        </is>
      </c>
      <c r="B6" t="n">
        <v>0</v>
      </c>
      <c r="C6" t="n">
        <v>0</v>
      </c>
      <c r="D6" t="n">
        <v>0</v>
      </c>
      <c r="E6" t="n">
        <v>0.07000000000000001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0.05249999999999999</v>
      </c>
      <c r="O6" t="n">
        <v>0.05249999999999999</v>
      </c>
      <c r="P6" t="n">
        <v>0.05249999999999999</v>
      </c>
      <c r="Q6" t="n">
        <v>0.05249999999999999</v>
      </c>
      <c r="R6" t="n">
        <v>0.05249999999999999</v>
      </c>
      <c r="S6" t="n">
        <v>0.05249999999999999</v>
      </c>
      <c r="T6" t="n">
        <v>0.05249999999999999</v>
      </c>
    </row>
    <row r="7">
      <c r="A7" t="inlineStr">
        <is>
          <t>Октябрь +4%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0.04</v>
      </c>
      <c r="L7" t="n">
        <v>0</v>
      </c>
      <c r="M7" t="n">
        <v>0</v>
      </c>
      <c r="N7" t="n">
        <v>0.01000000000000001</v>
      </c>
      <c r="O7" t="n">
        <v>0.01000000000000001</v>
      </c>
      <c r="P7" t="n">
        <v>0.01000000000000001</v>
      </c>
      <c r="Q7" t="n">
        <v>0.01000000000000001</v>
      </c>
      <c r="R7" t="n">
        <v>0.01000000000000001</v>
      </c>
      <c r="S7" t="n">
        <v>0.01000000000000001</v>
      </c>
      <c r="T7" t="n">
        <v>0.01000000000000001</v>
      </c>
    </row>
    <row r="8">
      <c r="A8" t="inlineStr">
        <is>
          <t>Октябрь +5%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</v>
      </c>
      <c r="L8" t="n">
        <v>0</v>
      </c>
      <c r="M8" t="n">
        <v>0</v>
      </c>
      <c r="N8" t="n">
        <v>0.01249999999999996</v>
      </c>
      <c r="O8" t="n">
        <v>0.01249999999999996</v>
      </c>
      <c r="P8" t="n">
        <v>0.01249999999999996</v>
      </c>
      <c r="Q8" t="n">
        <v>0.01249999999999996</v>
      </c>
      <c r="R8" t="n">
        <v>0.01249999999999996</v>
      </c>
      <c r="S8" t="n">
        <v>0.01249999999999996</v>
      </c>
      <c r="T8" t="n">
        <v>0.01249999999999996</v>
      </c>
    </row>
    <row r="9">
      <c r="A9" t="inlineStr">
        <is>
          <t>Октябрь +6%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</v>
      </c>
      <c r="L9" t="n">
        <v>0</v>
      </c>
      <c r="M9" t="n">
        <v>0</v>
      </c>
      <c r="N9" t="n">
        <v>0.0149999999999999</v>
      </c>
      <c r="O9" t="n">
        <v>0.0149999999999999</v>
      </c>
      <c r="P9" t="n">
        <v>0.0149999999999999</v>
      </c>
      <c r="Q9" t="n">
        <v>0.0149999999999999</v>
      </c>
      <c r="R9" t="n">
        <v>0.0149999999999999</v>
      </c>
      <c r="S9" t="n">
        <v>0.0149999999999999</v>
      </c>
      <c r="T9" t="n">
        <v>0.0149999999999999</v>
      </c>
    </row>
    <row r="10">
      <c r="A10" t="inlineStr">
        <is>
          <t>Октябрь +7%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0.07000000000000001</v>
      </c>
      <c r="L10" t="n">
        <v>0</v>
      </c>
      <c r="M10" t="n">
        <v>0</v>
      </c>
      <c r="N10" t="n">
        <v>0.01750000000000007</v>
      </c>
      <c r="O10" t="n">
        <v>0.01750000000000007</v>
      </c>
      <c r="P10" t="n">
        <v>0.01750000000000007</v>
      </c>
      <c r="Q10" t="n">
        <v>0.01750000000000007</v>
      </c>
      <c r="R10" t="n">
        <v>0.01750000000000007</v>
      </c>
      <c r="S10" t="n">
        <v>0.01750000000000007</v>
      </c>
      <c r="T10" t="n">
        <v>0.01750000000000007</v>
      </c>
    </row>
    <row r="11">
      <c r="A11" t="inlineStr">
        <is>
          <t>Апрель/Октябрь +4%</t>
        </is>
      </c>
      <c r="B11" t="n">
        <v>0</v>
      </c>
      <c r="C11" t="n">
        <v>0</v>
      </c>
      <c r="D11" t="n">
        <v>0</v>
      </c>
      <c r="E11" t="n">
        <v>0.04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0.04</v>
      </c>
      <c r="L11" t="n">
        <v>0</v>
      </c>
      <c r="M11" t="n">
        <v>0</v>
      </c>
      <c r="N11" t="n">
        <v>0.04040000000000021</v>
      </c>
      <c r="O11" t="n">
        <v>0.04040000000000021</v>
      </c>
      <c r="P11" t="n">
        <v>0.04040000000000021</v>
      </c>
      <c r="Q11" t="n">
        <v>0.04040000000000021</v>
      </c>
      <c r="R11" t="n">
        <v>0.04040000000000021</v>
      </c>
      <c r="S11" t="n">
        <v>0.04040000000000021</v>
      </c>
      <c r="T11" t="n">
        <v>0.04040000000000021</v>
      </c>
    </row>
    <row r="12">
      <c r="A12" t="inlineStr">
        <is>
          <t>Апрель/Октябрь +5%</t>
        </is>
      </c>
      <c r="B12" t="n">
        <v>0</v>
      </c>
      <c r="C12" t="n">
        <v>0</v>
      </c>
      <c r="D12" t="n">
        <v>0</v>
      </c>
      <c r="E12" t="n">
        <v>0.05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0.05</v>
      </c>
      <c r="L12" t="n">
        <v>0</v>
      </c>
      <c r="M12" t="n">
        <v>0</v>
      </c>
      <c r="N12" t="n">
        <v>0.05062499999999992</v>
      </c>
      <c r="O12" t="n">
        <v>0.05062499999999992</v>
      </c>
      <c r="P12" t="n">
        <v>0.05062499999999992</v>
      </c>
      <c r="Q12" t="n">
        <v>0.05062499999999992</v>
      </c>
      <c r="R12" t="n">
        <v>0.05062499999999992</v>
      </c>
      <c r="S12" t="n">
        <v>0.05062499999999992</v>
      </c>
      <c r="T12" t="n">
        <v>0.05062499999999992</v>
      </c>
    </row>
    <row r="13">
      <c r="A13" t="inlineStr">
        <is>
          <t>Апрель/Октябрь +6%</t>
        </is>
      </c>
      <c r="B13" t="n">
        <v>0</v>
      </c>
      <c r="C13" t="n">
        <v>0</v>
      </c>
      <c r="D13" t="n">
        <v>0</v>
      </c>
      <c r="E13" t="n">
        <v>0.06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</v>
      </c>
      <c r="L13" t="n">
        <v>0</v>
      </c>
      <c r="M13" t="n">
        <v>0</v>
      </c>
      <c r="N13" t="n">
        <v>0.06089999999999973</v>
      </c>
      <c r="O13" t="n">
        <v>0.06089999999999973</v>
      </c>
      <c r="P13" t="n">
        <v>0.06089999999999973</v>
      </c>
      <c r="Q13" t="n">
        <v>0.06089999999999973</v>
      </c>
      <c r="R13" t="n">
        <v>0.06089999999999973</v>
      </c>
      <c r="S13" t="n">
        <v>0.06089999999999973</v>
      </c>
      <c r="T13" t="n">
        <v>0.06089999999999973</v>
      </c>
    </row>
    <row r="14">
      <c r="A14" t="inlineStr">
        <is>
          <t>Апрель/Октябрь +7%</t>
        </is>
      </c>
      <c r="B14" t="n">
        <v>0</v>
      </c>
      <c r="C14" t="n">
        <v>0</v>
      </c>
      <c r="D14" t="n">
        <v>0</v>
      </c>
      <c r="E14" t="n">
        <v>0.07000000000000001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0.07000000000000001</v>
      </c>
      <c r="L14" t="n">
        <v>0</v>
      </c>
      <c r="M14" t="n">
        <v>0</v>
      </c>
      <c r="N14" t="n">
        <v>0.07122500000000009</v>
      </c>
      <c r="O14" t="n">
        <v>0.07122500000000009</v>
      </c>
      <c r="P14" t="n">
        <v>0.07122500000000009</v>
      </c>
      <c r="Q14" t="n">
        <v>0.07122500000000009</v>
      </c>
      <c r="R14" t="n">
        <v>0.07122500000000009</v>
      </c>
      <c r="S14" t="n">
        <v>0.07122500000000009</v>
      </c>
      <c r="T14" t="n">
        <v>0.07122500000000009</v>
      </c>
    </row>
    <row r="15">
      <c r="A15" t="inlineStr">
        <is>
          <t>Апрель/Октябрь +8%</t>
        </is>
      </c>
      <c r="B15" t="n">
        <v>0</v>
      </c>
      <c r="C15" t="n">
        <v>0</v>
      </c>
      <c r="D15" t="n">
        <v>0</v>
      </c>
      <c r="E15" t="n">
        <v>0.08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0.08</v>
      </c>
      <c r="L15" t="n">
        <v>0</v>
      </c>
      <c r="M15" t="n">
        <v>0</v>
      </c>
      <c r="N15" t="n">
        <v>0.0812250000000001</v>
      </c>
      <c r="O15" t="n">
        <v>0.0812250000000001</v>
      </c>
      <c r="P15" t="n">
        <v>0.0812250000000001</v>
      </c>
      <c r="Q15" t="n">
        <v>0.0812250000000001</v>
      </c>
      <c r="R15" t="n">
        <v>0.0812250000000001</v>
      </c>
      <c r="S15" t="n">
        <v>0.0812250000000001</v>
      </c>
      <c r="T15" t="n">
        <v>0.0812250000000001</v>
      </c>
    </row>
    <row r="16">
      <c r="A16" t="inlineStr">
        <is>
          <t>Апрель/Октябрь +9%</t>
        </is>
      </c>
      <c r="B16" t="n">
        <v>0</v>
      </c>
      <c r="C16" t="n">
        <v>0</v>
      </c>
      <c r="D16" t="n">
        <v>0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0.09</v>
      </c>
      <c r="L16" t="n">
        <v>0</v>
      </c>
      <c r="M16" t="n">
        <v>0</v>
      </c>
      <c r="N16" t="n">
        <v>0.0912250000000001</v>
      </c>
      <c r="O16" t="n">
        <v>0.0912250000000001</v>
      </c>
      <c r="P16" t="n">
        <v>0.0912250000000001</v>
      </c>
      <c r="Q16" t="n">
        <v>0.0912250000000001</v>
      </c>
      <c r="R16" t="n">
        <v>0.0912250000000001</v>
      </c>
      <c r="S16" t="n">
        <v>0.0912250000000001</v>
      </c>
      <c r="T16" t="n">
        <v>0.0912250000000001</v>
      </c>
    </row>
    <row r="17">
      <c r="A17" t="inlineStr">
        <is>
          <t>Апрель/Октябрь +10%</t>
        </is>
      </c>
      <c r="B17" t="n">
        <v>0</v>
      </c>
      <c r="C17" t="n">
        <v>0</v>
      </c>
      <c r="D17" t="n">
        <v>0</v>
      </c>
      <c r="E17" t="n">
        <v>0.1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</v>
      </c>
      <c r="L17" t="n">
        <v>0</v>
      </c>
      <c r="M17" t="n">
        <v>0</v>
      </c>
      <c r="N17" t="n">
        <v>0.101225</v>
      </c>
      <c r="O17" t="n">
        <v>0.101225</v>
      </c>
      <c r="P17" t="n">
        <v>0.101225</v>
      </c>
      <c r="Q17" t="n">
        <v>0.101225</v>
      </c>
      <c r="R17" t="n">
        <v>0.101225</v>
      </c>
      <c r="S17" t="n">
        <v>0.101225</v>
      </c>
      <c r="T17" t="n">
        <v>0.101225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C16" sqref="C16"/>
    </sheetView>
  </sheetViews>
  <sheetFormatPr baseColWidth="8" defaultRowHeight="15"/>
  <sheetData>
    <row r="1">
      <c r="A1" t="inlineStr">
        <is>
          <t>SEASONALITY_PROFILE / CATEGORY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</row>
    <row r="2">
      <c r="A2" t="inlineStr">
        <is>
          <t>No_Seasonality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CSD</t>
        </is>
      </c>
      <c r="B3" t="n">
        <v>0.9880424411569093</v>
      </c>
      <c r="C3" t="n">
        <v>0.8524501791366589</v>
      </c>
      <c r="D3" t="n">
        <v>0.9651622084721927</v>
      </c>
      <c r="E3" t="n">
        <v>0.9777102331033288</v>
      </c>
      <c r="F3" t="n">
        <v>1.105901852344065</v>
      </c>
      <c r="G3" t="n">
        <v>1.151847979998182</v>
      </c>
      <c r="H3" t="n">
        <v>1.236834474813838</v>
      </c>
      <c r="I3" t="n">
        <v>1.22194658753878</v>
      </c>
      <c r="J3" t="n">
        <v>1.017259560835483</v>
      </c>
      <c r="K3" t="n">
        <v>0.9664498692758979</v>
      </c>
      <c r="L3" t="n">
        <v>0.9045382748729365</v>
      </c>
      <c r="M3" t="n">
        <v>1.066262333968326</v>
      </c>
    </row>
    <row r="4">
      <c r="A4" t="inlineStr">
        <is>
          <t>WTR</t>
        </is>
      </c>
      <c r="B4" t="n">
        <v>0.8760100745109026</v>
      </c>
      <c r="C4" t="n">
        <v>0.79676991071966</v>
      </c>
      <c r="D4" t="n">
        <v>0.9281733472906769</v>
      </c>
      <c r="E4" t="n">
        <v>0.9929403563860619</v>
      </c>
      <c r="F4" t="n">
        <v>1.137068977467808</v>
      </c>
      <c r="G4" t="n">
        <v>1.239147448068164</v>
      </c>
      <c r="H4" t="n">
        <v>1.369260860782627</v>
      </c>
      <c r="I4" t="n">
        <v>1.346636191050967</v>
      </c>
      <c r="J4" t="n">
        <v>1.020988657680036</v>
      </c>
      <c r="K4" t="n">
        <v>0.9334323958237746</v>
      </c>
      <c r="L4" t="n">
        <v>0.8599682977867005</v>
      </c>
      <c r="M4" t="n">
        <v>0.8949760518714553</v>
      </c>
    </row>
    <row r="5">
      <c r="A5" t="inlineStr">
        <is>
          <t>EN</t>
        </is>
      </c>
      <c r="B5" t="n">
        <v>0.9143713728216264</v>
      </c>
      <c r="C5" t="n">
        <v>0.8485868210244817</v>
      </c>
      <c r="D5" t="n">
        <v>1.015288056719974</v>
      </c>
      <c r="E5" t="n">
        <v>1.081608008054107</v>
      </c>
      <c r="F5" t="n">
        <v>1.210457068354813</v>
      </c>
      <c r="G5" t="n">
        <v>1.282175173968491</v>
      </c>
      <c r="H5" t="n">
        <v>1.385422593067686</v>
      </c>
      <c r="I5" t="n">
        <v>1.440583957508119</v>
      </c>
      <c r="J5" t="n">
        <v>1.295077412877119</v>
      </c>
      <c r="K5" t="n">
        <v>1.259163118312128</v>
      </c>
      <c r="L5" t="n">
        <v>1.140035250432627</v>
      </c>
      <c r="M5" t="n">
        <v>1.147342045723563</v>
      </c>
    </row>
    <row r="6">
      <c r="A6" t="inlineStr">
        <is>
          <t>TEA</t>
        </is>
      </c>
      <c r="B6" t="n">
        <v>0.9143713728216264</v>
      </c>
      <c r="C6" t="n">
        <v>0.8485868210244817</v>
      </c>
      <c r="D6" t="n">
        <v>1.015288056719974</v>
      </c>
      <c r="E6" t="n">
        <v>1.081608008054107</v>
      </c>
      <c r="F6" t="n">
        <v>1.210457068354813</v>
      </c>
      <c r="G6" t="n">
        <v>1.282175173968491</v>
      </c>
      <c r="H6" t="n">
        <v>1.385422593067686</v>
      </c>
      <c r="I6" t="n">
        <v>1.440583957508119</v>
      </c>
      <c r="J6" t="n">
        <v>1.295077412877119</v>
      </c>
      <c r="K6" t="n">
        <v>1.259163118312128</v>
      </c>
      <c r="L6" t="n">
        <v>1.140035250432627</v>
      </c>
      <c r="M6" t="n">
        <v>1.147342045723563</v>
      </c>
    </row>
    <row r="7">
      <c r="A7" t="inlineStr">
        <is>
          <t>JUI</t>
        </is>
      </c>
      <c r="B7" t="n">
        <v>0.9143713728216264</v>
      </c>
      <c r="C7" t="n">
        <v>0.8485868210244817</v>
      </c>
      <c r="D7" t="n">
        <v>1.015288056719974</v>
      </c>
      <c r="E7" t="n">
        <v>1.081608008054107</v>
      </c>
      <c r="F7" t="n">
        <v>1.210457068354813</v>
      </c>
      <c r="G7" t="n">
        <v>1.282175173968491</v>
      </c>
      <c r="H7" t="n">
        <v>1.385422593067686</v>
      </c>
      <c r="I7" t="n">
        <v>1.440583957508119</v>
      </c>
      <c r="J7" t="n">
        <v>1.295077412877119</v>
      </c>
      <c r="K7" t="n">
        <v>1.259163118312128</v>
      </c>
      <c r="L7" t="n">
        <v>1.140035250432627</v>
      </c>
      <c r="M7" t="n">
        <v>1.147342045723563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F16" sqref="F16"/>
    </sheetView>
  </sheetViews>
  <sheetFormatPr baseColWidth="8" defaultRowHeight="15"/>
  <cols>
    <col width="16.42578125" customWidth="1" style="16" min="1" max="1"/>
    <col width="2.42578125" customWidth="1" style="16" min="2" max="2"/>
    <col width="16.42578125" customWidth="1" style="16" min="3" max="3"/>
    <col width="2.42578125" customWidth="1" style="16" min="4" max="4"/>
    <col width="16.42578125" customWidth="1" style="16" min="5" max="5"/>
    <col width="2.42578125" customWidth="1" style="16" min="6" max="6"/>
    <col width="16.42578125" customWidth="1" style="16" min="7" max="7"/>
    <col width="2.42578125" customWidth="1" style="16" min="8" max="8"/>
    <col width="16.42578125" customWidth="1" style="16" min="9" max="9"/>
    <col width="2.42578125" customWidth="1" style="16" min="10" max="10"/>
    <col width="16.42578125" customWidth="1" style="16" min="11" max="11"/>
  </cols>
  <sheetData>
    <row r="1">
      <c r="A1" t="inlineStr">
        <is>
          <t>VAT</t>
        </is>
      </c>
      <c r="C1" t="inlineStr">
        <is>
          <t>DISCOUNT_RATE</t>
        </is>
      </c>
      <c r="E1" t="inlineStr">
        <is>
          <t>BRAND_NAME</t>
        </is>
      </c>
      <c r="G1" t="inlineStr">
        <is>
          <t>SKU_PKG_TYPE</t>
        </is>
      </c>
      <c r="I1" t="inlineStr">
        <is>
          <t>SKU_WTR_BASE</t>
        </is>
      </c>
      <c r="K1" t="inlineStr">
        <is>
          <t>SKU_CARB</t>
        </is>
      </c>
    </row>
    <row r="2">
      <c r="A2" t="n">
        <v>0.1</v>
      </c>
      <c r="C2" t="n">
        <v>0.19</v>
      </c>
      <c r="E2" t="inlineStr">
        <is>
          <t>Ессентуки</t>
        </is>
      </c>
      <c r="G2" t="inlineStr">
        <is>
          <t>Банка</t>
        </is>
      </c>
      <c r="I2" t="inlineStr">
        <is>
          <t>Ессентуки</t>
        </is>
      </c>
      <c r="K2" t="inlineStr">
        <is>
          <t>Прир.Газ</t>
        </is>
      </c>
    </row>
    <row r="3">
      <c r="A3" t="n">
        <v>0.2</v>
      </c>
      <c r="C3" t="n">
        <v>0.2</v>
      </c>
      <c r="E3" t="inlineStr">
        <is>
          <t>Нарзан</t>
        </is>
      </c>
      <c r="G3" t="inlineStr">
        <is>
          <t>Пэт</t>
        </is>
      </c>
      <c r="I3" t="inlineStr">
        <is>
          <t>Нарзан</t>
        </is>
      </c>
      <c r="K3" t="inlineStr">
        <is>
          <t>Не.Газ</t>
        </is>
      </c>
    </row>
    <row r="4">
      <c r="A4" t="n">
        <v>0.22</v>
      </c>
      <c r="C4" t="n">
        <v>0.21</v>
      </c>
      <c r="E4" t="inlineStr">
        <is>
          <t>Архыз</t>
        </is>
      </c>
      <c r="G4" t="inlineStr">
        <is>
          <t>Стекло</t>
        </is>
      </c>
      <c r="I4" t="inlineStr">
        <is>
          <t>Архыз</t>
        </is>
      </c>
      <c r="K4" t="inlineStr">
        <is>
          <t>Газ</t>
        </is>
      </c>
    </row>
    <row r="5">
      <c r="C5" t="n">
        <v>0.22</v>
      </c>
      <c r="E5" t="inlineStr">
        <is>
          <t>Gorji</t>
        </is>
      </c>
      <c r="G5" t="inlineStr">
        <is>
          <t>Сашет</t>
        </is>
      </c>
      <c r="I5" t="inlineStr">
        <is>
          <t>Gorji</t>
        </is>
      </c>
      <c r="K5" t="inlineStr">
        <is>
          <t>TBD</t>
        </is>
      </c>
    </row>
    <row r="6">
      <c r="C6" t="n">
        <v>0.23</v>
      </c>
      <c r="E6" t="inlineStr">
        <is>
          <t>TBD</t>
        </is>
      </c>
      <c r="G6" t="inlineStr">
        <is>
          <t>Пауч</t>
        </is>
      </c>
      <c r="I6" t="inlineStr">
        <is>
          <t>ЕЗМВ</t>
        </is>
      </c>
    </row>
    <row r="7">
      <c r="C7" t="n">
        <v>0.24</v>
      </c>
      <c r="G7" t="inlineStr">
        <is>
          <t>Alu_btl</t>
        </is>
      </c>
      <c r="I7" t="inlineStr">
        <is>
          <t>TBD</t>
        </is>
      </c>
    </row>
    <row r="8">
      <c r="C8" t="n">
        <v>0.25</v>
      </c>
      <c r="G8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Степанов Сергей Сергеевич</dc:creator>
  <dcterms:created xmlns:dcterms="http://purl.org/dc/terms/" xmlns:xsi="http://www.w3.org/2001/XMLSchema-instance" xsi:type="dcterms:W3CDTF">2026-04-07T06:41:07Z</dcterms:created>
  <dcterms:modified xmlns:dcterms="http://purl.org/dc/terms/" xmlns:xsi="http://www.w3.org/2001/XMLSchema-instance" xsi:type="dcterms:W3CDTF">2026-04-07T15:01:20Z</dcterms:modified>
  <cp:lastModifiedBy>Степанов Сергей Сергеевич</cp:lastModifiedBy>
</cp:coreProperties>
</file>